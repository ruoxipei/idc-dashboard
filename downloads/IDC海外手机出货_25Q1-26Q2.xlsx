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c7b383b9e048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球厂商出货" sheetId="1" r:id="Rdaaf12fddac64b51"/>
    <x:sheet xmlns:r="http://schemas.openxmlformats.org/officeDocument/2006/relationships" name="中国厂商出货" sheetId="2" r:id="R8753ccd9d179424d"/>
    <x:sheet xmlns:r="http://schemas.openxmlformats.org/officeDocument/2006/relationships" name="海外厂商出货" sheetId="3" r:id="R48d3ba1d86bf4bcb"/>
    <x:sheet xmlns:r="http://schemas.openxmlformats.org/officeDocument/2006/relationships" name="校验结果" sheetId="4" r:id="Ra89d1bdfc76b437f"/>
    <x:sheet xmlns:r="http://schemas.openxmlformats.org/officeDocument/2006/relationships" name="计算底稿" sheetId="5" r:id="Red773788bcfa42de"/>
    <x:sheet xmlns:r="http://schemas.openxmlformats.org/officeDocument/2006/relationships" name="来源说明" sheetId="6" r:id="R8ed522312943476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"/>
    <x:numFmt numFmtId="201" formatCode="+0.0%;-0.0%;0.0%"/>
    <x:numFmt numFmtId="202" formatCode="0.0"/>
  </x:numFmts>
  <x:fonts count="14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rial"/>
    </x:font>
    <x:font>
      <x:sz val="11"/>
      <x:name val="Arial"/>
    </x:font>
    <x:font>
      <x:b/>
      <x:sz val="15"/>
      <x:color rgb="FFFFFFFF"/>
      <x:name val="Carlito"/>
    </x:font>
    <x:font>
      <x:b/>
      <x:sz val="11"/>
      <x:color rgb="FF1F2937"/>
      <x:name val="Carlito"/>
    </x:font>
    <x:font>
      <x:b/>
      <x:sz val="11"/>
      <x:color rgb="FF065F46"/>
      <x:name val="Carlito"/>
    </x:font>
    <x:font>
      <x:b/>
      <x:sz val="11"/>
      <x:color rgb="FF1E3A8A"/>
      <x:name val="Carlito"/>
    </x:font>
    <x:font>
      <x:i/>
      <x:sz val="11"/>
      <x:color rgb="FF4B5563"/>
      <x:name val="Carlito"/>
    </x:font>
    <x:font>
      <x:b/>
      <x:sz val="15"/>
      <x:color rgb="FFFFFFFF"/>
      <x:name val="Arial"/>
    </x:font>
    <x:font>
      <x:b/>
      <x:sz val="11"/>
      <x:color rgb="FF1F2937"/>
      <x:name val="Arial"/>
    </x:font>
    <x:font>
      <x:b/>
      <x:sz val="11"/>
      <x:color rgb="FF065F46"/>
      <x:name val="Arial"/>
    </x:font>
    <x:font>
      <x:b/>
      <x:sz val="11"/>
      <x:color rgb="FF1E3A8A"/>
      <x:name val="Arial"/>
    </x:font>
    <x:font>
      <x:i/>
      <x:sz val="11"/>
      <x:color rgb="FF4B5563"/>
      <x:name val="Arial"/>
    </x:font>
  </x:fonts>
  <x:fills count="16">
    <x:fill>
      <x:patternFill patternType="none"/>
    </x:fill>
    <x:fill>
      <x:patternFill patternType="gray125"/>
    </x:fill>
    <x:fill>
      <x:patternFill patternType="solid">
        <x:fgColor rgb="FF1E3A8A"/>
      </x:patternFill>
    </x:fill>
    <x:fill>
      <x:patternFill patternType="solid">
        <x:fgColor rgb="FF111827"/>
      </x:patternFill>
    </x:fill>
    <x:fill>
      <x:patternFill patternType="solid">
        <x:fgColor rgb="FF000000"/>
      </x:patternFill>
    </x:fill>
    <x:fill>
      <x:patternFill patternType="solid">
        <x:fgColor rgb="FFFFFFFF"/>
      </x:patternFill>
    </x:fill>
    <x:fill>
      <x:patternFill patternType="solid">
        <x:fgColor rgb="FFEFF6FF"/>
      </x:patternFill>
    </x:fill>
    <x:fill>
      <x:patternFill patternType="solid">
        <x:fgColor rgb="FFF8FAFC"/>
      </x:patternFill>
    </x:fill>
    <x:fill>
      <x:patternFill patternType="solid">
        <x:fgColor rgb="FFFFF7ED"/>
      </x:patternFill>
    </x:fill>
    <x:fill>
      <x:patternFill patternType="solid">
        <x:fgColor rgb="FFF5F3FF"/>
      </x:patternFill>
    </x:fill>
    <x:fill>
      <x:patternFill patternType="solid">
        <x:fgColor rgb="FFFEF2F2"/>
      </x:patternFill>
    </x:fill>
    <x:fill>
      <x:patternFill patternType="solid">
        <x:fgColor rgb="FFECFDF5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  <x:fill>
      <x:patternFill patternType="solid">
        <x:fgColor rgb="FFFEE2E2"/>
      </x:patternFill>
    </x:fill>
    <x:fill>
      <x:patternFill patternType="solid">
        <x:fgColor rgb="FFCFFAFE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1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vertical="center"/>
    </x:xf>
    <x:xf numFmtId="200" fontId="3" fillId="0" borderId="1" xfId="0" applyNumberFormat="1" applyFont="1" applyFill="1" applyBorder="1" applyAlignment="1">
      <x:alignment vertical="center"/>
    </x:xf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left"/>
    </x:xf>
    <x:xf numFmtId="0" fontId="4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horizontal="center"/>
    </x:xf>
    <x:xf numFmtId="0" fontId="1" fillId="4" borderId="1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1" xfId="0" applyNumberFormat="1" applyFont="1" applyFill="1" applyBorder="1"/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horizontal="center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1" xfId="0" applyNumberFormat="1" applyFont="1" applyFill="1" applyBorder="1"/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/>
    <x:xf numFmtId="0" fontId="0" fillId="8" borderId="1" xfId="0" applyNumberFormat="1" applyFont="1" applyFill="1" applyBorder="1"/>
    <x:xf numFmtId="0" fontId="0" fillId="8" borderId="1" xfId="0" applyNumberFormat="1" applyFont="1" applyFill="1" applyBorder="1" applyAlignment="1">
      <x:alignment horizontal="center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0" fillId="9" borderId="1" xfId="0" applyNumberFormat="1" applyFont="1" applyFill="1" applyBorder="1" applyAlignment="1">
      <x:alignment horizontal="center"/>
    </x:xf>
    <x:xf numFmtId="0" fontId="0" fillId="10" borderId="0" xfId="0" applyNumberFormat="1" applyFont="1" applyFill="1" applyBorder="1"/>
    <x:xf numFmtId="0" fontId="0" fillId="10" borderId="1" xfId="0" applyNumberFormat="1" applyFont="1" applyFill="1" applyBorder="1"/>
    <x:xf numFmtId="0" fontId="0" fillId="10" borderId="1" xfId="0" applyNumberFormat="1" applyFont="1" applyFill="1" applyBorder="1" applyAlignment="1">
      <x:alignment horizontal="center"/>
    </x:xf>
    <x:xf numFmtId="0" fontId="0" fillId="11" borderId="0" xfId="0" applyNumberFormat="1" applyFont="1" applyFill="1" applyBorder="1"/>
    <x:xf numFmtId="0" fontId="6" fillId="11" borderId="0" xfId="0" applyNumberFormat="1" applyFont="1" applyFill="1" applyBorder="1"/>
    <x:xf numFmtId="0" fontId="6" fillId="11" borderId="1" xfId="0" applyNumberFormat="1" applyFont="1" applyFill="1" applyBorder="1"/>
    <x:xf numFmtId="0" fontId="0" fillId="12" borderId="0" xfId="0" applyNumberFormat="1" applyFont="1" applyFill="1" applyBorder="1"/>
    <x:xf numFmtId="0" fontId="7" fillId="12" borderId="0" xfId="0" applyNumberFormat="1" applyFont="1" applyFill="1" applyBorder="1"/>
    <x:xf numFmtId="0" fontId="7" fillId="12" borderId="1" xfId="0" applyNumberFormat="1" applyFont="1" applyFill="1" applyBorder="1"/>
    <x:xf numFmtId="202" fontId="0" fillId="6" borderId="1" xfId="0" applyNumberFormat="1" applyFont="1" applyFill="1" applyBorder="1" applyAlignment="1">
      <x:alignment horizontal="center"/>
    </x:xf>
    <x:xf numFmtId="202" fontId="0" fillId="5" borderId="1" xfId="0" applyNumberFormat="1" applyFont="1" applyFill="1" applyBorder="1" applyAlignment="1">
      <x:alignment horizontal="center"/>
    </x:xf>
    <x:xf numFmtId="201" fontId="0" fillId="6" borderId="1" xfId="0" applyNumberFormat="1" applyFont="1" applyFill="1" applyBorder="1" applyAlignment="1">
      <x:alignment horizontal="center"/>
    </x:xf>
    <x:xf numFmtId="201" fontId="0" fillId="5" borderId="1" xfId="0" applyNumberFormat="1" applyFont="1" applyFill="1" applyBorder="1" applyAlignment="1">
      <x:alignment horizontal="center"/>
    </x:xf>
    <x:xf numFmtId="202" fontId="0" fillId="7" borderId="1" xfId="0" applyNumberFormat="1" applyFont="1" applyFill="1" applyBorder="1" applyAlignment="1">
      <x:alignment horizontal="center"/>
    </x:xf>
    <x:xf numFmtId="201" fontId="0" fillId="7" borderId="1" xfId="0" applyNumberFormat="1" applyFont="1" applyFill="1" applyBorder="1" applyAlignment="1">
      <x:alignment horizontal="center"/>
    </x:xf>
    <x:xf numFmtId="202" fontId="0" fillId="8" borderId="1" xfId="0" applyNumberFormat="1" applyFont="1" applyFill="1" applyBorder="1" applyAlignment="1">
      <x:alignment horizontal="center"/>
    </x:xf>
    <x:xf numFmtId="202" fontId="0" fillId="9" borderId="1" xfId="0" applyNumberFormat="1" applyFont="1" applyFill="1" applyBorder="1" applyAlignment="1">
      <x:alignment horizontal="center"/>
    </x:xf>
    <x:xf numFmtId="201" fontId="0" fillId="8" borderId="1" xfId="0" applyNumberFormat="1" applyFont="1" applyFill="1" applyBorder="1" applyAlignment="1">
      <x:alignment horizontal="center"/>
    </x:xf>
    <x:xf numFmtId="201" fontId="0" fillId="9" borderId="1" xfId="0" applyNumberFormat="1" applyFont="1" applyFill="1" applyBorder="1" applyAlignment="1">
      <x:alignment horizontal="center"/>
    </x:xf>
    <x:xf numFmtId="202" fontId="0" fillId="10" borderId="1" xfId="0" applyNumberFormat="1" applyFont="1" applyFill="1" applyBorder="1" applyAlignment="1">
      <x:alignment horizontal="center"/>
    </x:xf>
    <x:xf numFmtId="201" fontId="0" fillId="10" borderId="1" xfId="0" applyNumberFormat="1" applyFont="1" applyFill="1" applyBorder="1" applyAlignment="1">
      <x:alignment horizontal="center"/>
    </x:xf>
    <x:xf numFmtId="202" fontId="6" fillId="11" borderId="1" xfId="0" applyNumberFormat="1" applyFont="1" applyFill="1" applyBorder="1"/>
    <x:xf numFmtId="201" fontId="6" fillId="11" borderId="1" xfId="0" applyNumberFormat="1" applyFont="1" applyFill="1" applyBorder="1"/>
    <x:xf numFmtId="202" fontId="7" fillId="12" borderId="1" xfId="0" applyNumberFormat="1" applyFont="1" applyFill="1" applyBorder="1"/>
    <x:xf numFmtId="201" fontId="7" fillId="12" borderId="1" xfId="0" applyNumberFormat="1" applyFont="1" applyFill="1" applyBorder="1"/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0" xfId="0" applyNumberFormat="1" applyFont="1" applyFill="1" applyBorder="1" applyAlignment="1">
      <x:alignment wrapText="1"/>
    </x:xf>
    <x:xf numFmtId="0" fontId="8" fillId="1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horizontal="left" vertical="center"/>
    </x:xf>
    <x:xf numFmtId="0" fontId="2" fillId="4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10" fillId="5" borderId="1" xfId="0" applyNumberFormat="1" applyFont="1" applyFill="1" applyBorder="1"/>
    <x:xf numFmtId="202" fontId="3" fillId="6" borderId="1" xfId="0" applyNumberFormat="1" applyFont="1" applyFill="1" applyBorder="1" applyAlignment="1">
      <x:alignment horizontal="center"/>
    </x:xf>
    <x:xf numFmtId="201" fontId="3" fillId="6" borderId="1" xfId="0" applyNumberFormat="1" applyFont="1" applyFill="1" applyBorder="1" applyAlignment="1">
      <x:alignment horizontal="center"/>
    </x:xf>
    <x:xf numFmtId="202" fontId="3" fillId="5" borderId="1" xfId="0" applyNumberFormat="1" applyFont="1" applyFill="1" applyBorder="1" applyAlignment="1">
      <x:alignment horizontal="center"/>
    </x:xf>
    <x:xf numFmtId="201" fontId="3" fillId="5" borderId="1" xfId="0" applyNumberFormat="1" applyFont="1" applyFill="1" applyBorder="1" applyAlignment="1">
      <x:alignment horizontal="center"/>
    </x:xf>
    <x:xf numFmtId="0" fontId="10" fillId="7" borderId="1" xfId="0" applyNumberFormat="1" applyFont="1" applyFill="1" applyBorder="1"/>
    <x:xf numFmtId="202" fontId="3" fillId="7" borderId="1" xfId="0" applyNumberFormat="1" applyFont="1" applyFill="1" applyBorder="1" applyAlignment="1">
      <x:alignment horizontal="center"/>
    </x:xf>
    <x:xf numFmtId="201" fontId="3" fillId="7" borderId="1" xfId="0" applyNumberFormat="1" applyFont="1" applyFill="1" applyBorder="1" applyAlignment="1">
      <x:alignment horizontal="center"/>
    </x:xf>
    <x:xf numFmtId="202" fontId="3" fillId="8" borderId="1" xfId="0" applyNumberFormat="1" applyFont="1" applyFill="1" applyBorder="1" applyAlignment="1">
      <x:alignment horizontal="center"/>
    </x:xf>
    <x:xf numFmtId="201" fontId="3" fillId="8" borderId="1" xfId="0" applyNumberFormat="1" applyFont="1" applyFill="1" applyBorder="1" applyAlignment="1">
      <x:alignment horizontal="center"/>
    </x:xf>
    <x:xf numFmtId="202" fontId="3" fillId="9" borderId="1" xfId="0" applyNumberFormat="1" applyFont="1" applyFill="1" applyBorder="1" applyAlignment="1">
      <x:alignment horizontal="center"/>
    </x:xf>
    <x:xf numFmtId="201" fontId="3" fillId="9" borderId="1" xfId="0" applyNumberFormat="1" applyFont="1" applyFill="1" applyBorder="1" applyAlignment="1">
      <x:alignment horizontal="center"/>
    </x:xf>
    <x:xf numFmtId="202" fontId="3" fillId="10" borderId="1" xfId="0" applyNumberFormat="1" applyFont="1" applyFill="1" applyBorder="1" applyAlignment="1">
      <x:alignment horizontal="center"/>
    </x:xf>
    <x:xf numFmtId="201" fontId="3" fillId="10" borderId="1" xfId="0" applyNumberFormat="1" applyFont="1" applyFill="1" applyBorder="1" applyAlignment="1">
      <x:alignment horizontal="center"/>
    </x:xf>
    <x:xf numFmtId="0" fontId="11" fillId="11" borderId="1" xfId="0" applyNumberFormat="1" applyFont="1" applyFill="1" applyBorder="1"/>
    <x:xf numFmtId="202" fontId="11" fillId="11" borderId="1" xfId="0" applyNumberFormat="1" applyFont="1" applyFill="1" applyBorder="1"/>
    <x:xf numFmtId="201" fontId="11" fillId="11" borderId="1" xfId="0" applyNumberFormat="1" applyFont="1" applyFill="1" applyBorder="1"/>
    <x:xf numFmtId="0" fontId="12" fillId="12" borderId="1" xfId="0" applyNumberFormat="1" applyFont="1" applyFill="1" applyBorder="1"/>
    <x:xf numFmtId="202" fontId="12" fillId="12" borderId="1" xfId="0" applyNumberFormat="1" applyFont="1" applyFill="1" applyBorder="1"/>
    <x:xf numFmtId="201" fontId="12" fillId="12" borderId="1" xfId="0" applyNumberFormat="1" applyFont="1" applyFill="1" applyBorder="1"/>
    <x:xf numFmtId="0" fontId="13" fillId="13" borderId="0" xfId="0" applyNumberFormat="1" applyFont="1" applyFill="1" applyBorder="1" applyAlignment="1">
      <x:alignment vertical="center" wrapText="1"/>
    </x:xf>
    <x:xf numFmtId="0" fontId="0" fillId="14" borderId="0" xfId="0" applyNumberFormat="1" applyFont="1" applyFill="1" applyBorder="1"/>
    <x:xf numFmtId="0" fontId="7" fillId="14" borderId="0" xfId="0" applyNumberFormat="1" applyFont="1" applyFill="1" applyBorder="1"/>
    <x:xf numFmtId="0" fontId="7" fillId="14" borderId="1" xfId="0" applyNumberFormat="1" applyFont="1" applyFill="1" applyBorder="1"/>
    <x:xf numFmtId="202" fontId="7" fillId="14" borderId="1" xfId="0" applyNumberFormat="1" applyFont="1" applyFill="1" applyBorder="1"/>
    <x:xf numFmtId="201" fontId="7" fillId="14" borderId="1" xfId="0" applyNumberFormat="1" applyFont="1" applyFill="1" applyBorder="1"/>
    <x:xf numFmtId="0" fontId="12" fillId="14" borderId="1" xfId="0" applyNumberFormat="1" applyFont="1" applyFill="1" applyBorder="1"/>
    <x:xf numFmtId="202" fontId="12" fillId="14" borderId="1" xfId="0" applyNumberFormat="1" applyFont="1" applyFill="1" applyBorder="1"/>
    <x:xf numFmtId="201" fontId="12" fillId="14" borderId="1" xfId="0" applyNumberFormat="1" applyFont="1" applyFill="1" applyBorder="1"/>
    <x:xf numFmtId="0" fontId="0" fillId="15" borderId="0" xfId="0" applyNumberFormat="1" applyFont="1" applyFill="1" applyBorder="1"/>
    <x:xf numFmtId="0" fontId="7" fillId="15" borderId="0" xfId="0" applyNumberFormat="1" applyFont="1" applyFill="1" applyBorder="1"/>
    <x:xf numFmtId="0" fontId="7" fillId="15" borderId="1" xfId="0" applyNumberFormat="1" applyFont="1" applyFill="1" applyBorder="1"/>
    <x:xf numFmtId="202" fontId="7" fillId="15" borderId="1" xfId="0" applyNumberFormat="1" applyFont="1" applyFill="1" applyBorder="1"/>
    <x:xf numFmtId="201" fontId="7" fillId="15" borderId="1" xfId="0" applyNumberFormat="1" applyFont="1" applyFill="1" applyBorder="1"/>
    <x:xf numFmtId="0" fontId="12" fillId="15" borderId="1" xfId="0" applyNumberFormat="1" applyFont="1" applyFill="1" applyBorder="1"/>
    <x:xf numFmtId="202" fontId="12" fillId="15" borderId="1" xfId="0" applyNumberFormat="1" applyFont="1" applyFill="1" applyBorder="1"/>
    <x:xf numFmtId="201" fontId="12" fillId="15" borderId="1" xfId="0" applyNumberFormat="1" applyFont="1" applyFill="1" applyBorder="1"/>
    <x:xf numFmtId="0" fontId="0" fillId="0" borderId="1" xfId="0" applyNumberFormat="1" applyFont="1" applyFill="1" applyBorder="1" applyAlignment="1">
      <x:alignment vertical="top"/>
    </x:xf>
    <x:xf numFmtId="200" fontId="0" fillId="0" borderId="1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0" fontId="0" fillId="11" borderId="1" xfId="0" applyNumberFormat="1" applyFont="1" applyFill="1" applyBorder="1" applyAlignment="1">
      <x:alignment vertical="top"/>
    </x:xf>
    <x:xf numFmtId="0" fontId="6" fillId="11" borderId="1" xfId="0" applyNumberFormat="1" applyFont="1" applyFill="1" applyBorder="1" applyAlignment="1">
      <x:alignment vertical="top"/>
    </x:xf>
    <x:xf numFmtId="0" fontId="6" fillId="11" borderId="1" xfId="0" applyNumberFormat="1" applyFont="1" applyFill="1" applyBorder="1" applyAlignment="1">
      <x:alignment horizontal="center" vertical="top"/>
    </x:xf>
    <x:xf numFmtId="0" fontId="3" fillId="0" borderId="1" xfId="0" applyNumberFormat="1" applyFont="1" applyFill="1" applyBorder="1" applyAlignment="1">
      <x:alignment vertical="top"/>
    </x:xf>
    <x:xf numFmtId="200" fontId="3" fillId="0" borderId="1" xfId="0" applyNumberFormat="1" applyFont="1" applyFill="1" applyBorder="1" applyAlignment="1">
      <x:alignment vertical="top"/>
    </x:xf>
    <x:xf numFmtId="0" fontId="11" fillId="11" borderId="1" xfId="0" applyNumberFormat="1" applyFont="1" applyFill="1" applyBorder="1" applyAlignment="1">
      <x:alignment horizontal="center" vertical="top"/>
    </x:xf>
    <x:xf numFmtId="201" fontId="3" fillId="0" borderId="1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7f94ff4d5e433b" /><Relationship Type="http://schemas.openxmlformats.org/officeDocument/2006/relationships/theme" Target="/xl/theme/theme1.xml" Id="R7f1e0c5e16e0426b" /><Relationship Type="http://schemas.openxmlformats.org/officeDocument/2006/relationships/sharedStrings" Target="/xl/sharedStrings.xml" Id="R9044a070702e4ed2" /><Relationship Type="http://schemas.openxmlformats.org/officeDocument/2006/relationships/worksheet" Target="/xl/worksheets/sheet1.xml" Id="Rdaaf12fddac64b51" /><Relationship Type="http://schemas.openxmlformats.org/officeDocument/2006/relationships/worksheet" Target="/xl/worksheets/sheet2.xml" Id="R8753ccd9d179424d" /><Relationship Type="http://schemas.openxmlformats.org/officeDocument/2006/relationships/worksheet" Target="/xl/worksheets/sheet3.xml" Id="R48d3ba1d86bf4bcb" /><Relationship Type="http://schemas.openxmlformats.org/officeDocument/2006/relationships/worksheet" Target="/xl/worksheets/sheet4.xml" Id="Ra89d1bdfc76b437f" /><Relationship Type="http://schemas.openxmlformats.org/officeDocument/2006/relationships/worksheet" Target="/xl/worksheets/sheet5.xml" Id="Red773788bcfa42de" /><Relationship Type="http://schemas.openxmlformats.org/officeDocument/2006/relationships/worksheet" Target="/xl/worksheets/sheet6.xml" Id="R8ed522312943476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0" customHeight="1">
      <x:c r="A1" s="72" t="str">
        <x:v>IDC口径全球手机出货｜25Q1–26Q2 + 半年汇总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</x:row>
    <x:row r="2" ht="23" customHeight="1">
      <x:c r="A2" s="73" t="str">
        <x:v>厂商</x:v>
      </x:c>
      <x:c r="B2" s="73" t="str">
        <x:v>25H1</x:v>
      </x:c>
      <x:c r="C2" s="73"/>
      <x:c r="D2" s="73" t="str">
        <x:v>25H2</x:v>
      </x:c>
      <x:c r="E2" s="73"/>
      <x:c r="F2" s="73" t="str">
        <x:v>26H1</x:v>
      </x:c>
      <x:c r="G2" s="73"/>
      <x:c r="H2" s="74"/>
      <x:c r="I2" s="73" t="str">
        <x:v>25Q1</x:v>
      </x:c>
      <x:c r="J2" s="73"/>
      <x:c r="K2" s="73" t="str">
        <x:v>25Q2</x:v>
      </x:c>
      <x:c r="L2" s="73"/>
      <x:c r="M2" s="73" t="str">
        <x:v>25Q3</x:v>
      </x:c>
      <x:c r="N2" s="73"/>
      <x:c r="O2" s="73" t="str">
        <x:v>25Q4</x:v>
      </x:c>
      <x:c r="P2" s="73"/>
      <x:c r="Q2" s="73" t="str">
        <x:v>26Q1</x:v>
      </x:c>
      <x:c r="R2" s="73"/>
      <x:c r="S2" s="73" t="str">
        <x:v>26Q2</x:v>
      </x:c>
      <x:c r="T2" s="73"/>
    </x:row>
    <x:row r="3" ht="23" customHeight="1">
      <x:c r="A3" s="73"/>
      <x:c r="B3" s="73" t="str">
        <x:v>出货量(M)</x:v>
      </x:c>
      <x:c r="C3" s="73" t="str">
        <x:v>YoY</x:v>
      </x:c>
      <x:c r="D3" s="73" t="str">
        <x:v>出货量(M)</x:v>
      </x:c>
      <x:c r="E3" s="73" t="str">
        <x:v>YoY</x:v>
      </x:c>
      <x:c r="F3" s="73" t="str">
        <x:v>出货量(M)</x:v>
      </x:c>
      <x:c r="G3" s="73" t="str">
        <x:v>YoY</x:v>
      </x:c>
      <x:c r="H3" s="74"/>
      <x:c r="I3" s="73" t="str">
        <x:v>出货量(M)</x:v>
      </x:c>
      <x:c r="J3" s="73" t="str">
        <x:v>YoY</x:v>
      </x:c>
      <x:c r="K3" s="73" t="str">
        <x:v>出货量(M)</x:v>
      </x:c>
      <x:c r="L3" s="73" t="str">
        <x:v>YoY</x:v>
      </x:c>
      <x:c r="M3" s="73" t="str">
        <x:v>出货量(M)</x:v>
      </x:c>
      <x:c r="N3" s="73" t="str">
        <x:v>YoY</x:v>
      </x:c>
      <x:c r="O3" s="73" t="str">
        <x:v>出货量(M)</x:v>
      </x:c>
      <x:c r="P3" s="73" t="str">
        <x:v>YoY</x:v>
      </x:c>
      <x:c r="Q3" s="73" t="str">
        <x:v>出货量(M)</x:v>
      </x:c>
      <x:c r="R3" s="73" t="str">
        <x:v>YoY</x:v>
      </x:c>
      <x:c r="S3" s="73" t="str">
        <x:v>出货量(M)</x:v>
      </x:c>
      <x:c r="T3" s="73" t="str">
        <x:v>YoY</x:v>
      </x:c>
    </x:row>
    <x:row r="4" ht="23" customHeight="1">
      <x:c r="A4" s="75" t="str">
        <x:v>Apple</x:v>
      </x:c>
      <x:c r="B4" s="76" t="n">
        <x:f>SUM(I4,K4)</x:f>
        <x:v>107.5</x:v>
      </x:c>
      <x:c r="C4" s="77" t="n">
        <x:f>IF(SUM('计算底稿'!F2,'计算底稿'!F3)=0,"",B4/SUM('计算底稿'!F2,'计算底稿'!F3)-1)</x:f>
        <x:v>0.09359104781281768</x:v>
      </x:c>
      <x:c r="D4" s="76" t="n">
        <x:f>SUM(M4,O4)</x:f>
        <x:v>140.7</x:v>
      </x:c>
      <x:c r="E4" s="77" t="n">
        <x:f>IF(SUM('计算底稿'!F4,'计算底稿'!F5)=0,"",D4/SUM('计算底稿'!F4,'计算底稿'!F5)-1)</x:f>
        <x:v>0.04531946508172369</x:v>
      </x:c>
      <x:c r="F4" s="76" t="n">
        <x:f>SUM(Q4,S4)</x:f>
        <x:v>117.6</x:v>
      </x:c>
      <x:c r="G4" s="77" t="n">
        <x:f>IF(B4=0,"",F4/B4-1)</x:f>
        <x:v>0.09395348837209294</x:v>
      </x:c>
      <x:c r="H4" s="74"/>
      <x:c r="I4" s="78" t="n">
        <x:f>'计算底稿'!C2</x:f>
        <x:v>59.1</x:v>
      </x:c>
      <x:c r="J4" s="79" t="n">
        <x:f>'计算底稿'!P2</x:f>
        <x:v>0.12357414448669202</x:v>
      </x:c>
      <x:c r="K4" s="78" t="n">
        <x:f>'计算底稿'!C3</x:f>
        <x:v>48.4</x:v>
      </x:c>
      <x:c r="L4" s="79" t="n">
        <x:f>'计算底稿'!P3</x:f>
        <x:v>0.05908096280087527</x:v>
      </x:c>
      <x:c r="M4" s="78" t="n">
        <x:f>'计算底稿'!C4</x:f>
        <x:v>59.4</x:v>
      </x:c>
      <x:c r="N4" s="79" t="n">
        <x:f>'计算底稿'!P4</x:f>
        <x:v>0.040999999999999995</x:v>
      </x:c>
      <x:c r="O4" s="78" t="n">
        <x:f>'计算底稿'!C5</x:f>
        <x:v>81.3</x:v>
      </x:c>
      <x:c r="P4" s="79" t="n">
        <x:f>'计算底稿'!P5</x:f>
        <x:v>0.049</x:v>
      </x:c>
      <x:c r="Q4" s="78" t="n">
        <x:f>'计算底稿'!C6</x:f>
        <x:v>61.8</x:v>
      </x:c>
      <x:c r="R4" s="79" t="n">
        <x:f>'计算底稿'!P6</x:f>
        <x:v>0.044000000000000004</x:v>
      </x:c>
      <x:c r="S4" s="78" t="n">
        <x:f>'计算底稿'!C7</x:f>
        <x:v>55.8</x:v>
      </x:c>
      <x:c r="T4" s="79" t="n">
        <x:f>'计算底稿'!P7</x:f>
        <x:v>0.153</x:v>
      </x:c>
    </x:row>
    <x:row r="5" ht="23" customHeight="1">
      <x:c r="A5" s="80" t="str">
        <x:v>Samsung</x:v>
      </x:c>
      <x:c r="B5" s="76" t="n">
        <x:f>SUM(I5,K5)</x:f>
        <x:v>118.6</x:v>
      </x:c>
      <x:c r="C5" s="77" t="n">
        <x:f>IF(SUM('计算底稿'!F8,'计算底稿'!F9)=0,"",B5/SUM('计算底稿'!F8,'计算底稿'!F9)-1)</x:f>
        <x:v>0.04035087719298236</x:v>
      </x:c>
      <x:c r="D5" s="76" t="n">
        <x:f>SUM(M5,O5)</x:f>
        <x:v>122.6</x:v>
      </x:c>
      <x:c r="E5" s="77" t="n">
        <x:f>IF(SUM('计算底稿'!F10,'计算底稿'!F11)=0,"",D5/SUM('计算底稿'!F10,'计算底稿'!F11)-1)</x:f>
        <x:v>0.12065813528336378</x:v>
      </x:c>
      <x:c r="F5" s="76" t="n">
        <x:f>SUM(Q5,S5)</x:f>
        <x:v>125.1</x:v>
      </x:c>
      <x:c r="G5" s="77" t="n">
        <x:f>IF(B5=0,"",F5/B5-1)</x:f>
        <x:v>0.05480607082630695</x:v>
      </x:c>
      <x:c r="H5" s="74"/>
      <x:c r="I5" s="81" t="n">
        <x:f>'计算底稿'!C8</x:f>
        <x:v>60.6</x:v>
      </x:c>
      <x:c r="J5" s="82" t="n">
        <x:f>'计算底稿'!P8</x:f>
        <x:v>0.006644518272425293</x:v>
      </x:c>
      <x:c r="K5" s="81" t="n">
        <x:f>'计算底稿'!C9</x:f>
        <x:v>58</x:v>
      </x:c>
      <x:c r="L5" s="82" t="n">
        <x:f>'计算底稿'!P9</x:f>
        <x:v>0.0780669144981414</x:v>
      </x:c>
      <x:c r="M5" s="81" t="n">
        <x:f>'计算底稿'!C10</x:f>
        <x:v>61.4</x:v>
      </x:c>
      <x:c r="N5" s="82" t="n">
        <x:f>'计算底稿'!P10</x:f>
        <x:v>0.063</x:v>
      </x:c>
      <x:c r="O5" s="81" t="n">
        <x:f>'计算底稿'!C11</x:f>
        <x:v>61.2</x:v>
      </x:c>
      <x:c r="P5" s="82" t="n">
        <x:f>'计算底稿'!P11</x:f>
        <x:v>0.183</x:v>
      </x:c>
      <x:c r="Q5" s="81" t="n">
        <x:f>'计算底稿'!C12</x:f>
        <x:v>62.4</x:v>
      </x:c>
      <x:c r="R5" s="82" t="n">
        <x:f>'计算底稿'!P12</x:f>
        <x:v>0.028999999999999998</x:v>
      </x:c>
      <x:c r="S5" s="81" t="n">
        <x:f>'计算底稿'!C13</x:f>
        <x:v>62.7</x:v>
      </x:c>
      <x:c r="T5" s="82" t="n">
        <x:f>'计算底稿'!P13</x:f>
        <x:v>0.081</x:v>
      </x:c>
    </x:row>
    <x:row r="6" ht="23" customHeight="1">
      <x:c r="A6" s="75" t="str">
        <x:v>Xiaomi</x:v>
      </x:c>
      <x:c r="B6" s="76" t="n">
        <x:f>SUM(I6,K6)</x:f>
        <x:v>84.19999999999999</x:v>
      </x:c>
      <x:c r="C6" s="77" t="n">
        <x:f>IF(SUM('计算底稿'!F14,'计算底稿'!F15)=0,"",B6/SUM('计算底稿'!F14,'计算底稿'!F15)-1)</x:f>
        <x:v>0.013237063778579916</x:v>
      </x:c>
      <x:c r="D6" s="76" t="n">
        <x:f>SUM(M6,O6)</x:f>
        <x:v>81.19999999999999</x:v>
      </x:c>
      <x:c r="E6" s="77" t="n">
        <x:f>IF(SUM('计算底稿'!F16,'计算底稿'!F17)=0,"",D6/SUM('计算底稿'!F16,'计算底稿'!F17)-1)</x:f>
        <x:v>-0.05029239766081883</x:v>
      </x:c>
      <x:c r="F6" s="76" t="n">
        <x:f>SUM(Q6,S6)</x:f>
        <x:v>65</x:v>
      </x:c>
      <x:c r="G6" s="77" t="n">
        <x:f>IF(B6=0,"",F6/B6-1)</x:f>
        <x:v>-0.22802850356294524</x:v>
      </x:c>
      <x:c r="H6" s="74"/>
      <x:c r="I6" s="78" t="n">
        <x:f>'计算底稿'!C14</x:f>
        <x:v>41.8</x:v>
      </x:c>
      <x:c r="J6" s="79" t="n">
        <x:f>'计算底稿'!P14</x:f>
        <x:v>0.02450980392156854</x:v>
      </x:c>
      <x:c r="K6" s="78" t="n">
        <x:f>'计算底稿'!C15</x:f>
        <x:v>42.4</x:v>
      </x:c>
      <x:c r="L6" s="79" t="n">
        <x:f>'计算底稿'!P15</x:f>
        <x:v>0.0023640661938535423</x:v>
      </x:c>
      <x:c r="M6" s="78" t="n">
        <x:f>'计算底稿'!C16</x:f>
        <x:v>43.4</x:v>
      </x:c>
      <x:c r="N6" s="79" t="n">
        <x:f>'计算底稿'!P16</x:f>
        <x:v>0.013999999999999999</x:v>
      </x:c>
      <x:c r="O6" s="78" t="n">
        <x:f>'计算底稿'!C17</x:f>
        <x:v>37.8</x:v>
      </x:c>
      <x:c r="P6" s="79" t="n">
        <x:f>'计算底稿'!P17</x:f>
        <x:v>-0.114</x:v>
      </x:c>
      <x:c r="Q6" s="78" t="n">
        <x:f>'计算底稿'!C18</x:f>
        <x:v>33.8</x:v>
      </x:c>
      <x:c r="R6" s="79" t="n">
        <x:f>'计算底稿'!P18</x:f>
        <x:v>-0.191</x:v>
      </x:c>
      <x:c r="S6" s="78" t="n">
        <x:f>'计算底稿'!C19</x:f>
        <x:v>31.2</x:v>
      </x:c>
      <x:c r="T6" s="79" t="n">
        <x:f>'计算底稿'!P19</x:f>
        <x:v>-0.263</x:v>
      </x:c>
    </x:row>
    <x:row r="7" ht="23" customHeight="1">
      <x:c r="A7" s="80" t="str">
        <x:v>Honor</x:v>
      </x:c>
      <x:c r="B7" s="83" t="n">
        <x:f>SUM(I7,K7)</x:f>
        <x:v>33.2</x:v>
      </x:c>
      <x:c r="C7" s="84" t="n">
        <x:f>IF(SUM('计算底稿'!F20,'计算底稿'!F21)=0,"",B7/SUM('计算底稿'!F20,'计算底稿'!F21)-1)</x:f>
        <x:v>0.20727272727272728</x:v>
      </x:c>
      <x:c r="D7" s="83" t="n">
        <x:f>SUM(M7,O7)</x:f>
        <x:v>34.5</x:v>
      </x:c>
      <x:c r="E7" s="84" t="n">
        <x:f>IF(SUM('计算底稿'!F22,'计算底稿'!F23)=0,"",D7/SUM('计算底稿'!F22,'计算底稿'!F23)-1)</x:f>
        <x:v>0.3018867924528301</x:v>
      </x:c>
      <x:c r="F7" s="83" t="n">
        <x:f>SUM(Q7,S7)</x:f>
        <x:v>39.7</x:v>
      </x:c>
      <x:c r="G7" s="84" t="n">
        <x:f>IF(B7=0,"",F7/B7-1)</x:f>
        <x:v>0.19578313253012047</x:v>
      </x:c>
      <x:c r="H7" s="74"/>
      <x:c r="I7" s="83" t="n">
        <x:f>'计算底稿'!C20</x:f>
        <x:v>16.2</x:v>
      </x:c>
      <x:c r="J7" s="84" t="n">
        <x:f>'计算底稿'!P20</x:f>
        <x:v>0.15714285714285703</x:v>
      </x:c>
      <x:c r="K7" s="83" t="n">
        <x:f>'计算底稿'!C21</x:f>
        <x:v>17</x:v>
      </x:c>
      <x:c r="L7" s="84" t="n">
        <x:f>'计算底稿'!P21</x:f>
        <x:v>0.2592592592592593</x:v>
      </x:c>
      <x:c r="M7" s="83" t="n">
        <x:f>'计算底稿'!C22</x:f>
        <x:v>17.5</x:v>
      </x:c>
      <x:c r="N7" s="84" t="n">
        <x:f>'计算底稿'!P22</x:f>
        <x:v>0.34615384615384626</x:v>
      </x:c>
      <x:c r="O7" s="83" t="n">
        <x:f>'计算底稿'!C23</x:f>
        <x:v>17</x:v>
      </x:c>
      <x:c r="P7" s="84" t="n">
        <x:f>'计算底稿'!P23</x:f>
        <x:v>0.2592592592592593</x:v>
      </x:c>
      <x:c r="Q7" s="85" t="n">
        <x:f>'计算底稿'!C24</x:f>
        <x:v>20.2</x:v>
      </x:c>
      <x:c r="R7" s="86" t="n">
        <x:f>'计算底稿'!P24</x:f>
        <x:v>0.24691358024691357</x:v>
      </x:c>
      <x:c r="S7" s="83" t="n">
        <x:f>'计算底稿'!C25</x:f>
        <x:v>19.5</x:v>
      </x:c>
      <x:c r="T7" s="84" t="n">
        <x:f>'计算底稿'!P25</x:f>
        <x:v>0.1470588235294117</x:v>
      </x:c>
    </x:row>
    <x:row r="8" ht="23" customHeight="1">
      <x:c r="A8" s="75" t="str">
        <x:v>vivo</x:v>
      </x:c>
      <x:c r="B8" s="76" t="n">
        <x:f>SUM(I8,K8)</x:f>
        <x:v>49</x:v>
      </x:c>
      <x:c r="C8" s="77" t="n">
        <x:f>IF(SUM('计算底稿'!F26,'计算底稿'!F27)=0,"",B8/SUM('计算底稿'!F26,'计算底稿'!F27)-1)</x:f>
        <x:v>0.03813559322033888</x:v>
      </x:c>
      <x:c r="D8" s="76" t="n">
        <x:f>SUM(M8,O8)</x:f>
        <x:v>54.9</x:v>
      </x:c>
      <x:c r="E8" s="77" t="n">
        <x:f>IF(SUM('计算底稿'!F28,'计算底稿'!F29)=0,"",D8/SUM('计算底稿'!F28,'计算底稿'!F29)-1)</x:f>
        <x:v>0.014787430683918634</x:v>
      </x:c>
      <x:c r="F8" s="76" t="n">
        <x:f>SUM(Q8,S8)</x:f>
        <x:v>42.4</x:v>
      </x:c>
      <x:c r="G8" s="77" t="n">
        <x:f>IF(B8=0,"",F8/B8-1)</x:f>
        <x:v>-0.13469387755102047</x:v>
      </x:c>
      <x:c r="H8" s="74"/>
      <x:c r="I8" s="78" t="n">
        <x:f>'计算底稿'!C26</x:f>
        <x:v>22.7</x:v>
      </x:c>
      <x:c r="J8" s="79" t="n">
        <x:f>'计算底稿'!P26</x:f>
        <x:v>0.06572769953051627</x:v>
      </x:c>
      <x:c r="K8" s="78" t="n">
        <x:f>'计算底稿'!C27</x:f>
        <x:v>26.3</x:v>
      </x:c>
      <x:c r="L8" s="79" t="n">
        <x:f>'计算底稿'!P27</x:f>
        <x:v>0.015444015444015635</x:v>
      </x:c>
      <x:c r="M8" s="78" t="n">
        <x:f>'计算底稿'!C28</x:f>
        <x:v>27.9</x:v>
      </x:c>
      <x:c r="N8" s="79" t="n">
        <x:f>'计算底稿'!P28</x:f>
        <x:v>0.034</x:v>
      </x:c>
      <x:c r="O8" s="78" t="n">
        <x:f>'计算底稿'!C29</x:f>
        <x:v>27</x:v>
      </x:c>
      <x:c r="P8" s="79" t="n">
        <x:f>'计算底稿'!P29</x:f>
        <x:v>-0.004</x:v>
      </x:c>
      <x:c r="Q8" s="78" t="n">
        <x:f>'计算底稿'!C30</x:f>
        <x:v>21.2</x:v>
      </x:c>
      <x:c r="R8" s="79" t="n">
        <x:f>'计算底稿'!P30</x:f>
        <x:v>-0.069</x:v>
      </x:c>
      <x:c r="S8" s="78" t="n">
        <x:f>'计算底稿'!C31</x:f>
        <x:v>21.2</x:v>
      </x:c>
      <x:c r="T8" s="79" t="n">
        <x:f>'计算底稿'!P31</x:f>
        <x:v>-0.19399999999999998</x:v>
      </x:c>
    </x:row>
    <x:row r="9" ht="23" customHeight="1">
      <x:c r="A9" s="80" t="str">
        <x:v>OPPO</x:v>
      </x:c>
      <x:c r="B9" s="76" t="n">
        <x:f>SUM(I9,K9)</x:f>
        <x:v>69</x:v>
      </x:c>
      <x:c r="C9" s="77" t="n">
        <x:f>IF(SUM('计算底稿'!F32,'计算底稿'!F33)=0,"",B9/SUM('计算底稿'!F32,'计算底稿'!F33)-1)</x:f>
        <x:v>0.2921348314606742</x:v>
      </x:c>
      <x:c r="D9" s="87" t="n">
        <x:f>SUM(M9,O9)</x:f>
        <x:v>53.4</x:v>
      </x:c>
      <x:c r="E9" s="88" t="n">
        <x:f>IF(SUM('计算底稿'!F34,'计算底稿'!F35)=0,"",D9/SUM('计算底稿'!F34,'计算底稿'!F35)-1)</x:f>
        <x:v>0.04705882352941182</x:v>
      </x:c>
      <x:c r="F9" s="76" t="n">
        <x:f>SUM(Q9,S9)</x:f>
        <x:v>59.5</x:v>
      </x:c>
      <x:c r="G9" s="77" t="n">
        <x:f>IF(B9=0,"",F9/B9-1)</x:f>
        <x:v>-0.1376811594202898</x:v>
      </x:c>
      <x:c r="H9" s="74"/>
      <x:c r="I9" s="81" t="n">
        <x:f>'计算底稿'!C32</x:f>
        <x:v>34.1</x:v>
      </x:c>
      <x:c r="J9" s="82" t="n">
        <x:f>'计算底稿'!P32</x:f>
        <x:v>0.35317460317460325</x:v>
      </x:c>
      <x:c r="K9" s="81" t="n">
        <x:f>'计算底稿'!C33</x:f>
        <x:v>34.9</x:v>
      </x:c>
      <x:c r="L9" s="82" t="n">
        <x:f>'计算底稿'!P33</x:f>
        <x:v>0.23758865248226946</x:v>
      </x:c>
      <x:c r="M9" s="87" t="n">
        <x:f>'计算底稿'!C34</x:f>
        <x:v>26.5</x:v>
      </x:c>
      <x:c r="N9" s="88" t="n">
        <x:f>'计算底稿'!P34</x:f>
        <x:v>0.019230769230769162</x:v>
      </x:c>
      <x:c r="O9" s="87" t="n">
        <x:f>'计算底稿'!C35</x:f>
        <x:v>26.9</x:v>
      </x:c>
      <x:c r="P9" s="88" t="n">
        <x:f>'计算底稿'!P35</x:f>
        <x:v>0.076</x:v>
      </x:c>
      <x:c r="Q9" s="81" t="n">
        <x:f>'计算底稿'!C36</x:f>
        <x:v>30.7</x:v>
      </x:c>
      <x:c r="R9" s="82" t="n">
        <x:f>'计算底稿'!P36</x:f>
        <x:v>-0.099</x:v>
      </x:c>
      <x:c r="S9" s="81" t="n">
        <x:f>'计算底稿'!C37</x:f>
        <x:v>28.8</x:v>
      </x:c>
      <x:c r="T9" s="82" t="n">
        <x:f>'计算底稿'!P37</x:f>
        <x:v>-0.175</x:v>
      </x:c>
    </x:row>
    <x:row r="10" ht="23" customHeight="1">
      <x:c r="A10" s="75" t="str">
        <x:v>Huawei</x:v>
      </x:c>
      <x:c r="B10" s="83" t="n">
        <x:f>SUM(I10,K10)</x:f>
        <x:v>32.7</x:v>
      </x:c>
      <x:c r="C10" s="84" t="n">
        <x:f>IF(SUM('计算底稿'!F38,'计算底稿'!F39)=0,"",B10/SUM('计算底稿'!F38,'计算底稿'!F39)-1)</x:f>
        <x:v>0.05144694533762073</x:v>
      </x:c>
      <x:c r="D10" s="83" t="n">
        <x:f>SUM(M10,O10)</x:f>
        <x:v>28.9</x:v>
      </x:c>
      <x:c r="E10" s="84" t="n">
        <x:f>IF(SUM('计算底稿'!F40,'计算底稿'!F41)=0,"",D10/SUM('计算底稿'!F40,'计算底稿'!F41)-1)</x:f>
        <x:v>-0.017006802721088454</x:v>
      </x:c>
      <x:c r="F10" s="83" t="n">
        <x:f>SUM(Q10,S10)</x:f>
        <x:v>36.2</x:v>
      </x:c>
      <x:c r="G10" s="84" t="n">
        <x:f>IF(B10=0,"",F10/B10-1)</x:f>
        <x:v>0.10703363914373099</x:v>
      </x:c>
      <x:c r="H10" s="74"/>
      <x:c r="I10" s="83" t="n">
        <x:f>'计算底稿'!C38</x:f>
        <x:v>16.4</x:v>
      </x:c>
      <x:c r="J10" s="84" t="n">
        <x:f>'计算底稿'!P38</x:f>
        <x:v>0.10067114093959728</x:v>
      </x:c>
      <x:c r="K10" s="83" t="n">
        <x:f>'计算底稿'!C39</x:f>
        <x:v>16.3</x:v>
      </x:c>
      <x:c r="L10" s="84" t="n">
        <x:f>'计算底稿'!P39</x:f>
        <x:v>0.006172839506172867</x:v>
      </x:c>
      <x:c r="M10" s="83" t="n">
        <x:f>'计算底稿'!C40</x:f>
        <x:v>14.3</x:v>
      </x:c>
      <x:c r="N10" s="84" t="n">
        <x:f>'计算底稿'!P40</x:f>
        <x:v>0.03623188405797095</x:v>
      </x:c>
      <x:c r="O10" s="83" t="n">
        <x:f>'计算底稿'!C41</x:f>
        <x:v>14.6</x:v>
      </x:c>
      <x:c r="P10" s="84" t="n">
        <x:f>'计算底稿'!P41</x:f>
        <x:v>-0.0641025641025641</x:v>
      </x:c>
      <x:c r="Q10" s="83" t="n">
        <x:f>'计算底稿'!C42</x:f>
        <x:v>16.5</x:v>
      </x:c>
      <x:c r="R10" s="84" t="n">
        <x:f>'计算底稿'!P42</x:f>
        <x:v>0.0060975609756097615</x:v>
      </x:c>
      <x:c r="S10" s="85" t="n">
        <x:f>'计算底稿'!C43</x:f>
        <x:v>19.7</x:v>
      </x:c>
      <x:c r="T10" s="86" t="n">
        <x:f>'计算底稿'!P43</x:f>
        <x:v>0.20858895705521463</x:v>
      </x:c>
    </x:row>
    <x:row r="11" ht="23" customHeight="1">
      <x:c r="A11" s="80" t="str">
        <x:v>Transsion</x:v>
      </x:c>
      <x:c r="B11" s="83" t="n">
        <x:f>SUM(I11,K11)</x:f>
        <x:v>50.1</x:v>
      </x:c>
      <x:c r="C11" s="84" t="n">
        <x:f>IF(SUM('计算底稿'!F44,'计算底稿'!F45)=0,"",B11/SUM('计算底稿'!F44,'计算底稿'!F45)-1)</x:f>
        <x:v>-0.07222222222222219</x:v>
      </x:c>
      <x:c r="D11" s="83" t="n">
        <x:f>SUM(M11,O11)</x:f>
        <x:v>54.2</x:v>
      </x:c>
      <x:c r="E11" s="84" t="n">
        <x:f>IF(SUM('计算底稿'!F46,'计算底稿'!F47)=0,"",D11/SUM('计算底稿'!F46,'计算底稿'!F47)-1)</x:f>
        <x:v>0.06066536203522532</x:v>
      </x:c>
      <x:c r="F11" s="83" t="n">
        <x:f>SUM(Q11,S11)</x:f>
        <x:v>38</x:v>
      </x:c>
      <x:c r="G11" s="84" t="n">
        <x:f>IF(B11=0,"",F11/B11-1)</x:f>
        <x:v>-0.24151696606786432</x:v>
      </x:c>
      <x:c r="H11" s="74"/>
      <x:c r="I11" s="83" t="n">
        <x:f>'计算底稿'!C44</x:f>
        <x:v>25</x:v>
      </x:c>
      <x:c r="J11" s="84" t="n">
        <x:f>'计算底稿'!P44</x:f>
        <x:v>-0.1228070175438597</x:v>
      </x:c>
      <x:c r="K11" s="81" t="n">
        <x:f>'计算底稿'!C45</x:f>
        <x:v>25.1</x:v>
      </x:c>
      <x:c r="L11" s="82" t="n">
        <x:f>'计算底稿'!P45</x:f>
        <x:v>-0.017</x:v>
      </x:c>
      <x:c r="M11" s="81" t="n">
        <x:f>'计算底稿'!C46</x:f>
        <x:v>29.2</x:v>
      </x:c>
      <x:c r="N11" s="82" t="n">
        <x:f>'计算底稿'!P46</x:f>
        <x:v>0.134</x:v>
      </x:c>
      <x:c r="O11" s="83" t="n">
        <x:f>'计算底稿'!C47</x:f>
        <x:v>25</x:v>
      </x:c>
      <x:c r="P11" s="84" t="n">
        <x:f>'计算底稿'!P47</x:f>
        <x:v>-0.015748031496062964</x:v>
      </x:c>
      <x:c r="Q11" s="83" t="n">
        <x:f>'计算底稿'!C48</x:f>
        <x:v>19.5</x:v>
      </x:c>
      <x:c r="R11" s="84" t="n">
        <x:f>'计算底稿'!P48</x:f>
        <x:v>-0.21999999999999997</x:v>
      </x:c>
      <x:c r="S11" s="83" t="n">
        <x:f>'计算底稿'!C49</x:f>
        <x:v>18.5</x:v>
      </x:c>
      <x:c r="T11" s="84" t="n">
        <x:f>'计算底稿'!P49</x:f>
        <x:v>-0.26294820717131473</x:v>
      </x:c>
    </x:row>
    <x:row r="12" ht="23" customHeight="1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</x:row>
    <x:row r="13" ht="23" customHeight="1">
      <x:c r="A13" s="89" t="str">
        <x:v>8厂商合计</x:v>
      </x:c>
      <x:c r="B13" s="90" t="n">
        <x:f>SUM(I13,K13)</x:f>
        <x:v>544.3</x:v>
      </x:c>
      <x:c r="C13" s="91" t="n">
        <x:f>IF(SUM('计算底稿'!F2,'计算底稿'!F8,'计算底稿'!F14,'计算底稿'!F20,'计算底稿'!F26,'计算底稿'!F32,'计算底稿'!F38,'计算底稿'!F44,'计算底稿'!F3,'计算底稿'!F9,'计算底稿'!F15,'计算底稿'!F21,'计算底稿'!F27,'计算底稿'!F33,'计算底稿'!F39,'计算底稿'!F45)=0,"",B13/SUM('计算底稿'!F2,'计算底稿'!F8,'计算底稿'!F14,'计算底稿'!F20,'计算底稿'!F26,'计算底稿'!F32,'计算底稿'!F38,'计算底稿'!F44,'计算底稿'!F3,'计算底稿'!F9,'计算底稿'!F15,'计算底稿'!F21,'计算底稿'!F27,'计算底稿'!F33,'计算底稿'!F39,'计算底稿'!F45)-1)</x:f>
        <x:v>0.07019268580416838</x:v>
      </x:c>
      <x:c r="D13" s="90" t="n">
        <x:f>SUM(M13,O13)</x:f>
        <x:v>570.4000000000001</x:v>
      </x:c>
      <x:c r="E13" s="91" t="n">
        <x:f>IF(SUM('计算底稿'!F4,'计算底稿'!F10,'计算底稿'!F16,'计算底稿'!F22,'计算底稿'!F28,'计算底稿'!F34,'计算底稿'!F40,'计算底稿'!F46,'计算底稿'!F5,'计算底稿'!F11,'计算底稿'!F17,'计算底稿'!F23,'计算底稿'!F29,'计算底稿'!F35,'计算底稿'!F41,'计算底稿'!F47)=0,"",D13/SUM('计算底稿'!F4,'计算底稿'!F10,'计算底稿'!F16,'计算底稿'!F22,'计算底稿'!F28,'计算底稿'!F34,'计算底稿'!F40,'计算底稿'!F46,'计算底稿'!F5,'计算底稿'!F11,'计算底稿'!F17,'计算底稿'!F23,'计算底稿'!F29,'计算底稿'!F35,'计算底稿'!F41,'计算底稿'!F47)-1)</x:f>
        <x:v>0.05317577548005925</x:v>
      </x:c>
      <x:c r="F13" s="90" t="n">
        <x:f>SUM(Q13,S13)</x:f>
        <x:v>523.5</x:v>
      </x:c>
      <x:c r="G13" s="91" t="n">
        <x:f>IF(B13=0,"",F13/B13-1)</x:f>
        <x:v>-0.03821422009920994</x:v>
      </x:c>
      <x:c r="H13" s="89"/>
      <x:c r="I13" s="90" t="n">
        <x:f>SUM(I4:I11)</x:f>
        <x:v>275.9</x:v>
      </x:c>
      <x:c r="J13" s="91" t="n">
        <x:f>IF(SUM('计算底稿'!F2,'计算底稿'!F8,'计算底稿'!F14,'计算底稿'!F20,'计算底稿'!F26,'计算底稿'!F32,'计算底稿'!F38,'计算底稿'!F44)=0,"",I13/SUM('计算底稿'!F2,'计算底稿'!F8,'计算底稿'!F14,'计算底稿'!F20,'计算底稿'!F26,'计算底稿'!F32,'计算底稿'!F38,'计算底稿'!F44)-1)</x:f>
        <x:v>0.07145631067961156</x:v>
      </x:c>
      <x:c r="K13" s="90" t="n">
        <x:f>SUM(K4:K11)</x:f>
        <x:v>268.40000000000003</x:v>
      </x:c>
      <x:c r="L13" s="91" t="n">
        <x:f>IF(SUM('计算底稿'!F3,'计算底稿'!F9,'计算底稿'!F15,'计算底稿'!F21,'计算底稿'!F27,'计算底稿'!F33,'计算底稿'!F39,'计算底稿'!F45)=0,"",K13/SUM('计算底稿'!F3,'计算底稿'!F9,'计算底稿'!F15,'计算底稿'!F21,'计算底稿'!F27,'计算底稿'!F33,'计算底稿'!F39,'计算底稿'!F45)-1)</x:f>
        <x:v>0.06889685384309052</x:v>
      </x:c>
      <x:c r="M13" s="90" t="n">
        <x:f>SUM(M4:M11)</x:f>
        <x:v>279.6</x:v>
      </x:c>
      <x:c r="N13" s="91" t="n">
        <x:f>IF(SUM('计算底稿'!F4,'计算底稿'!F10,'计算底稿'!F16,'计算底稿'!F22,'计算底稿'!F28,'计算底稿'!F34,'计算底稿'!F40,'计算底稿'!F46)=0,"",M13/SUM('计算底稿'!F4,'计算底稿'!F10,'计算底稿'!F16,'计算底稿'!F22,'计算底稿'!F28,'计算底稿'!F34,'计算底稿'!F40,'计算底稿'!F46)-1)</x:f>
        <x:v>0.06271379703534774</x:v>
      </x:c>
      <x:c r="O13" s="90" t="n">
        <x:f>SUM(O4:O11)</x:f>
        <x:v>290.8</x:v>
      </x:c>
      <x:c r="P13" s="91" t="n">
        <x:f>IF(SUM('计算底稿'!F5,'计算底稿'!F11,'计算底稿'!F17,'计算底稿'!F23,'计算底稿'!F29,'计算底稿'!F35,'计算底稿'!F41,'计算底稿'!F47)=0,"",O13/SUM('计算底稿'!F5,'计算底稿'!F11,'计算底稿'!F17,'计算底稿'!F23,'计算底稿'!F29,'计算底稿'!F35,'计算底稿'!F41,'计算底稿'!F47)-1)</x:f>
        <x:v>0.04416517055655311</x:v>
      </x:c>
      <x:c r="Q13" s="90" t="n">
        <x:f>SUM(Q4:Q11)</x:f>
        <x:v>266.09999999999997</x:v>
      </x:c>
      <x:c r="R13" s="91" t="n">
        <x:f>IF(SUM('计算底稿'!F6,'计算底稿'!F12,'计算底稿'!F18,'计算底稿'!F24,'计算底稿'!F30,'计算底稿'!F36,'计算底稿'!F42,'计算底稿'!F48)=0,"",Q13/SUM('计算底稿'!F6,'计算底稿'!F12,'计算底稿'!F18,'计算底稿'!F24,'计算底稿'!F30,'计算底稿'!F36,'计算底稿'!F42,'计算底稿'!F48)-1)</x:f>
        <x:v>-0.03552011598405225</x:v>
      </x:c>
      <x:c r="S13" s="90" t="n">
        <x:f>SUM(S4:S11)</x:f>
        <x:v>257.4</x:v>
      </x:c>
      <x:c r="T13" s="91" t="n">
        <x:f>IF(SUM('计算底稿'!F7,'计算底稿'!F13,'计算底稿'!F19,'计算底稿'!F25,'计算底稿'!F31,'计算底稿'!F37,'计算底稿'!F43,'计算底稿'!F49)=0,"",S13/SUM('计算底稿'!F7,'计算底稿'!F13,'计算底稿'!F19,'计算底稿'!F25,'计算底稿'!F31,'计算底稿'!F37,'计算底稿'!F43,'计算底稿'!F49)-1)</x:f>
        <x:v>-0.040983606557377206</x:v>
      </x:c>
    </x:row>
    <x:row r="14" ht="23" customHeight="1">
      <x:c r="A14" s="92" t="str">
        <x:v>全球市场总计</x:v>
      </x:c>
      <x:c r="B14" s="93" t="n">
        <x:f>SUM(I14,K14)</x:f>
        <x:v>600</x:v>
      </x:c>
      <x:c r="C14" s="94" t="n">
        <x:f>IF(SUM('计算底稿'!F50,'计算底稿'!F51)=0,"",B14/SUM('计算底稿'!F50,'计算底稿'!F51)-1)</x:f>
        <x:v>0.012658227848101333</x:v>
      </x:c>
      <x:c r="D14" s="93" t="n">
        <x:f>SUM(M14,O14)</x:f>
        <x:v>662</x:v>
      </x:c>
      <x:c r="E14" s="94" t="n">
        <x:f>IF(SUM('计算底稿'!F52,'计算底稿'!F53)=0,"",D14/SUM('计算底稿'!F52,'计算底稿'!F53)-1)</x:f>
        <x:v>0.02874902874902885</x:v>
      </x:c>
      <x:c r="F14" s="93" t="n">
        <x:f>SUM(Q14,S14)</x:f>
        <x:v>571.3</x:v>
      </x:c>
      <x:c r="G14" s="94" t="n">
        <x:f>IF(B14=0,"",F14/B14-1)</x:f>
        <x:v>-0.047833333333333394</x:v>
      </x:c>
      <x:c r="H14" s="92"/>
      <x:c r="I14" s="93" t="n">
        <x:f>'计算底稿'!C50</x:f>
        <x:v>302.6</x:v>
      </x:c>
      <x:c r="J14" s="94" t="n">
        <x:f>'计算底稿'!P50</x:f>
        <x:v>0.015</x:v>
      </x:c>
      <x:c r="K14" s="93" t="n">
        <x:f>'计算底稿'!C51</x:f>
        <x:v>297.4</x:v>
      </x:c>
      <x:c r="L14" s="94" t="n">
        <x:f>'计算底稿'!P51</x:f>
        <x:v>0.01</x:v>
      </x:c>
      <x:c r="M14" s="93" t="n">
        <x:f>'计算底稿'!C52</x:f>
        <x:v>325.7</x:v>
      </x:c>
      <x:c r="N14" s="94" t="n">
        <x:f>'计算底稿'!P52</x:f>
        <x:v>0.035</x:v>
      </x:c>
      <x:c r="O14" s="93" t="n">
        <x:f>'计算底稿'!C53</x:f>
        <x:v>336.3</x:v>
      </x:c>
      <x:c r="P14" s="94" t="n">
        <x:f>'计算底稿'!P53</x:f>
        <x:v>0.023</x:v>
      </x:c>
      <x:c r="Q14" s="93" t="n">
        <x:f>'计算底稿'!C54</x:f>
        <x:v>293.8</x:v>
      </x:c>
      <x:c r="R14" s="94" t="n">
        <x:f>'计算底稿'!P54</x:f>
        <x:v>-0.028999999999999998</x:v>
      </x:c>
      <x:c r="S14" s="93" t="n">
        <x:f>'计算底稿'!C55</x:f>
        <x:v>277.5</x:v>
      </x:c>
      <x:c r="T14" s="94" t="n">
        <x:f>'计算底稿'!P55</x:f>
        <x:v>-0.067</x:v>
      </x:c>
    </x:row>
    <x:row r="15" ht="32" customHeight="1">
      <x:c r="A15" s="95" t="str">
        <x:v>全球绝对量优先采用IDC公开Top 5表；橙/紫/红为估算、同比反推或旧口径。厂商YoY有公开值时取IDC，否则按底稿计算；25Q1/25Q2重列值的版本边界见“校验结果”。</x:v>
      </x:c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</x:row>
  </x:sheetData>
  <x:mergeCells>
    <x:mergeCell ref="A1:T1"/>
    <x:mergeCell ref="A2:A3"/>
    <x:mergeCell ref="B2:C2"/>
    <x:mergeCell ref="D2:E2"/>
    <x:mergeCell ref="F2:G2"/>
    <x:mergeCell ref="I2:J2"/>
    <x:mergeCell ref="K2:L2"/>
    <x:mergeCell ref="M2:N2"/>
    <x:mergeCell ref="O2:P2"/>
    <x:mergeCell ref="Q2:R2"/>
    <x:mergeCell ref="S2:T2"/>
    <x:mergeCell ref="A15:T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0" customHeight="1">
      <x:c r="A1" s="72" t="str">
        <x:v>IDC口径中国手机出货｜25Q1–26Q2 + 半年汇总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</x:row>
    <x:row r="2" ht="23" customHeight="1">
      <x:c r="A2" s="73" t="str">
        <x:v>厂商</x:v>
      </x:c>
      <x:c r="B2" s="73" t="str">
        <x:v>25H1</x:v>
      </x:c>
      <x:c r="C2" s="73"/>
      <x:c r="D2" s="73" t="str">
        <x:v>25H2</x:v>
      </x:c>
      <x:c r="E2" s="73"/>
      <x:c r="F2" s="73" t="str">
        <x:v>26H1</x:v>
      </x:c>
      <x:c r="G2" s="73"/>
      <x:c r="H2" s="74"/>
      <x:c r="I2" s="73" t="str">
        <x:v>25Q1</x:v>
      </x:c>
      <x:c r="J2" s="73"/>
      <x:c r="K2" s="73" t="str">
        <x:v>25Q2</x:v>
      </x:c>
      <x:c r="L2" s="73"/>
      <x:c r="M2" s="73" t="str">
        <x:v>25Q3</x:v>
      </x:c>
      <x:c r="N2" s="73"/>
      <x:c r="O2" s="73" t="str">
        <x:v>25Q4</x:v>
      </x:c>
      <x:c r="P2" s="73"/>
      <x:c r="Q2" s="73" t="str">
        <x:v>26Q1</x:v>
      </x:c>
      <x:c r="R2" s="73"/>
      <x:c r="S2" s="73" t="str">
        <x:v>26Q2</x:v>
      </x:c>
      <x:c r="T2" s="73"/>
    </x:row>
    <x:row r="3" ht="23" customHeight="1">
      <x:c r="A3" s="73"/>
      <x:c r="B3" s="73" t="str">
        <x:v>出货量(M)</x:v>
      </x:c>
      <x:c r="C3" s="73" t="str">
        <x:v>YoY</x:v>
      </x:c>
      <x:c r="D3" s="73" t="str">
        <x:v>出货量(M)</x:v>
      </x:c>
      <x:c r="E3" s="73" t="str">
        <x:v>YoY</x:v>
      </x:c>
      <x:c r="F3" s="73" t="str">
        <x:v>出货量(M)</x:v>
      </x:c>
      <x:c r="G3" s="73" t="str">
        <x:v>YoY</x:v>
      </x:c>
      <x:c r="H3" s="74"/>
      <x:c r="I3" s="73" t="str">
        <x:v>出货量(M)</x:v>
      </x:c>
      <x:c r="J3" s="73" t="str">
        <x:v>YoY</x:v>
      </x:c>
      <x:c r="K3" s="73" t="str">
        <x:v>出货量(M)</x:v>
      </x:c>
      <x:c r="L3" s="73" t="str">
        <x:v>YoY</x:v>
      </x:c>
      <x:c r="M3" s="73" t="str">
        <x:v>出货量(M)</x:v>
      </x:c>
      <x:c r="N3" s="73" t="str">
        <x:v>YoY</x:v>
      </x:c>
      <x:c r="O3" s="73" t="str">
        <x:v>出货量(M)</x:v>
      </x:c>
      <x:c r="P3" s="73" t="str">
        <x:v>YoY</x:v>
      </x:c>
      <x:c r="Q3" s="73" t="str">
        <x:v>出货量(M)</x:v>
      </x:c>
      <x:c r="R3" s="73" t="str">
        <x:v>YoY</x:v>
      </x:c>
      <x:c r="S3" s="73" t="str">
        <x:v>出货量(M)</x:v>
      </x:c>
      <x:c r="T3" s="73" t="str">
        <x:v>YoY</x:v>
      </x:c>
    </x:row>
    <x:row r="4" ht="23" customHeight="1">
      <x:c r="A4" s="75" t="str">
        <x:v>Apple</x:v>
      </x:c>
      <x:c r="B4" s="81" t="n">
        <x:f>SUM(I4,K4)</x:f>
        <x:v>19.4</x:v>
      </x:c>
      <x:c r="C4" s="82" t="n">
        <x:f>IF(SUM('计算底稿'!G2,'计算底稿'!G3)=0,"",B4/SUM('计算底稿'!G2,'计算底稿'!G3)-1)</x:f>
        <x:v>-0.05411994149195509</x:v>
      </x:c>
      <x:c r="D4" s="81" t="n">
        <x:f>SUM(M4,O4)</x:f>
        <x:v>26.81</x:v>
      </x:c>
      <x:c r="E4" s="82" t="n">
        <x:f>IF(SUM('计算底稿'!G4,'计算底稿'!G5)=0,"",D4/SUM('计算底稿'!G4,'计算底稿'!G5)-1)</x:f>
        <x:v>0.12128816394813868</x:v>
      </x:c>
      <x:c r="F4" s="81" t="n">
        <x:f>SUM(Q4,S4)</x:f>
        <x:v>24.71</x:v>
      </x:c>
      <x:c r="G4" s="82" t="n">
        <x:f>IF(B4=0,"",F4/B4-1)</x:f>
        <x:v>0.2737113402061857</x:v>
      </x:c>
      <x:c r="H4" s="74"/>
      <x:c r="I4" s="78" t="n">
        <x:f>'计算底稿'!D2</x:f>
        <x:v>9.81</x:v>
      </x:c>
      <x:c r="J4" s="79" t="n">
        <x:f>'计算底稿'!J2</x:f>
        <x:v>-0.0908248378127895</x:v>
      </x:c>
      <x:c r="K4" s="78" t="n">
        <x:f>'计算底稿'!D3</x:f>
        <x:v>9.59</x:v>
      </x:c>
      <x:c r="L4" s="79" t="n">
        <x:f>'计算底稿'!J3</x:f>
        <x:v>-0.013374485596707952</x:v>
      </x:c>
      <x:c r="M4" s="78" t="n">
        <x:f>'计算底稿'!D4</x:f>
        <x:v>10.79</x:v>
      </x:c>
      <x:c r="N4" s="79" t="n">
        <x:f>'计算底稿'!J4</x:f>
        <x:v>0.006529850746268551</x:v>
      </x:c>
      <x:c r="O4" s="78" t="n">
        <x:f>'计算底稿'!D5</x:f>
        <x:v>16.02</x:v>
      </x:c>
      <x:c r="P4" s="79" t="n">
        <x:f>'计算底稿'!J5</x:f>
        <x:v>0.21455648218347223</x:v>
      </x:c>
      <x:c r="Q4" s="78" t="n">
        <x:f>'计算底稿'!D6</x:f>
        <x:v>12.78</x:v>
      </x:c>
      <x:c r="R4" s="79" t="n">
        <x:f>'计算底稿'!J6</x:f>
        <x:v>0.3027522935779816</x:v>
      </x:c>
      <x:c r="S4" s="78" t="n">
        <x:f>'计算底稿'!D7</x:f>
        <x:v>11.93</x:v>
      </x:c>
      <x:c r="T4" s="79" t="n">
        <x:f>'计算底稿'!J7</x:f>
        <x:v>0.2440041710114702</x:v>
      </x:c>
    </x:row>
    <x:row r="5" ht="23" customHeight="1">
      <x:c r="A5" s="80" t="str">
        <x:v>Samsung</x:v>
      </x:c>
      <x:c r="B5" s="81" t="n">
        <x:f>SUM(I5,K5)</x:f>
        <x:v>0.9</x:v>
      </x:c>
      <x:c r="C5" s="82" t="n">
        <x:f>IF(SUM('计算底稿'!G8,'计算底稿'!G9)=0,"",B5/SUM('计算底稿'!G8,'计算底稿'!G9)-1)</x:f>
        <x:v>-0.09999999999999998</x:v>
      </x:c>
      <x:c r="D5" s="81" t="n">
        <x:f>SUM(M5,O5)</x:f>
        <x:v>0.8</x:v>
      </x:c>
      <x:c r="E5" s="82" t="n">
        <x:f>IF(SUM('计算底稿'!G10,'计算底稿'!G11)=0,"",D5/SUM('计算底稿'!G10,'计算底稿'!G11)-1)</x:f>
        <x:v>-0.11111111111111105</x:v>
      </x:c>
      <x:c r="F5" s="81" t="n">
        <x:f>SUM(Q5,S5)</x:f>
        <x:v>0.75</x:v>
      </x:c>
      <x:c r="G5" s="82" t="n">
        <x:f>IF(B5=0,"",F5/B5-1)</x:f>
        <x:v>-0.16666666666666674</x:v>
      </x:c>
      <x:c r="H5" s="74"/>
      <x:c r="I5" s="81" t="n">
        <x:f>'计算底稿'!D8</x:f>
        <x:v>0.5</x:v>
      </x:c>
      <x:c r="J5" s="82" t="n">
        <x:f>'计算底稿'!J8</x:f>
        <x:v>0</x:v>
      </x:c>
      <x:c r="K5" s="81" t="n">
        <x:f>'计算底稿'!D9</x:f>
        <x:v>0.4</x:v>
      </x:c>
      <x:c r="L5" s="82" t="n">
        <x:f>'计算底稿'!J9</x:f>
        <x:v>-0.19999999999999996</x:v>
      </x:c>
      <x:c r="M5" s="81" t="n">
        <x:f>'计算底稿'!D10</x:f>
        <x:v>0.4</x:v>
      </x:c>
      <x:c r="N5" s="82" t="n">
        <x:f>'计算底稿'!J10</x:f>
        <x:v>-0.19999999999999996</x:v>
      </x:c>
      <x:c r="O5" s="81" t="n">
        <x:f>'计算底稿'!D11</x:f>
        <x:v>0.4</x:v>
      </x:c>
      <x:c r="P5" s="82" t="n">
        <x:f>'计算底稿'!J11</x:f>
        <x:v>0</x:v>
      </x:c>
      <x:c r="Q5" s="81" t="n">
        <x:f>'计算底稿'!D12</x:f>
        <x:v>0.4</x:v>
      </x:c>
      <x:c r="R5" s="82" t="n">
        <x:f>'计算底稿'!J12</x:f>
        <x:v>-0.19999999999999996</x:v>
      </x:c>
      <x:c r="S5" s="81" t="n">
        <x:f>'计算底稿'!D13</x:f>
        <x:v>0.35</x:v>
      </x:c>
      <x:c r="T5" s="82" t="n">
        <x:f>'计算底稿'!J13</x:f>
        <x:v>-0.1250000000000001</x:v>
      </x:c>
    </x:row>
    <x:row r="6" ht="23" customHeight="1">
      <x:c r="A6" s="75" t="str">
        <x:v>Xiaomi</x:v>
      </x:c>
      <x:c r="B6" s="81" t="n">
        <x:f>SUM(I6,K6)</x:f>
        <x:v>23.78</x:v>
      </x:c>
      <x:c r="C6" s="82" t="n">
        <x:f>IF(SUM('计算底稿'!G14,'计算底稿'!G15)=0,"",B6/SUM('计算底稿'!G14,'计算底稿'!G15)-1)</x:f>
        <x:v>0.21141110545084074</x:v>
      </x:c>
      <x:c r="D6" s="81" t="n">
        <x:f>SUM(M6,O6)</x:f>
        <x:v>20.07</x:v>
      </x:c>
      <x:c r="E6" s="82" t="n">
        <x:f>IF(SUM('计算底稿'!G16,'计算底稿'!G17)=0,"",D6/SUM('计算底稿'!G16,'计算底稿'!G17)-1)</x:f>
        <x:v>-0.10441767068273089</x:v>
      </x:c>
      <x:c r="F6" s="81" t="n">
        <x:f>SUM(Q6,S6)</x:f>
        <x:v>16.78</x:v>
      </x:c>
      <x:c r="G6" s="82" t="n">
        <x:f>IF(B6=0,"",F6/B6-1)</x:f>
        <x:v>-0.2943650126156434</x:v>
      </x:c>
      <x:c r="H6" s="74"/>
      <x:c r="I6" s="78" t="n">
        <x:f>'计算底稿'!D14</x:f>
        <x:v>13.34</x:v>
      </x:c>
      <x:c r="J6" s="79" t="n">
        <x:f>'计算底稿'!J14</x:f>
        <x:v>0.3983228511530399</x:v>
      </x:c>
      <x:c r="K6" s="78" t="n">
        <x:f>'计算底稿'!D15</x:f>
        <x:v>10.44</x:v>
      </x:c>
      <x:c r="L6" s="79" t="n">
        <x:f>'计算底稿'!J15</x:f>
        <x:v>0.03468780971258667</x:v>
      </x:c>
      <x:c r="M6" s="78" t="n">
        <x:f>'计算底稿'!D16</x:f>
        <x:v>10.05</x:v>
      </x:c>
      <x:c r="N6" s="79" t="n">
        <x:f>'计算底稿'!J16</x:f>
        <x:v>-0.015670910871694477</x:v>
      </x:c>
      <x:c r="O6" s="78" t="n">
        <x:f>'计算底稿'!D17</x:f>
        <x:v>10.02</x:v>
      </x:c>
      <x:c r="P6" s="79" t="n">
        <x:f>'计算底稿'!J17</x:f>
        <x:v>-0.17868852459016393</x:v>
      </x:c>
      <x:c r="Q6" s="78" t="n">
        <x:f>'计算底稿'!D18</x:f>
        <x:v>8.6</x:v>
      </x:c>
      <x:c r="R6" s="79" t="n">
        <x:f>'计算底稿'!J18</x:f>
        <x:v>-0.3553223388305847</x:v>
      </x:c>
      <x:c r="S6" s="78" t="n">
        <x:f>'计算底稿'!D19</x:f>
        <x:v>8.18</x:v>
      </x:c>
      <x:c r="T6" s="79" t="n">
        <x:f>'计算底稿'!J19</x:f>
        <x:v>-0.21647509578544055</x:v>
      </x:c>
    </x:row>
    <x:row r="7" ht="23" customHeight="1">
      <x:c r="A7" s="80" t="str">
        <x:v>Honor</x:v>
      </x:c>
      <x:c r="B7" s="81" t="n">
        <x:f>SUM(I7,K7)</x:f>
        <x:v>17.25</x:v>
      </x:c>
      <x:c r="C7" s="82" t="n">
        <x:f>IF(SUM('计算底稿'!G20,'计算底稿'!G21)=0,"",B7/SUM('计算底稿'!G20,'计算底稿'!G21)-1)</x:f>
        <x:v>-0.22262280306444338</x:v>
      </x:c>
      <x:c r="D7" s="81" t="n">
        <x:f>SUM(M7,O7)</x:f>
        <x:v>19.770000000000003</x:v>
      </x:c>
      <x:c r="E7" s="82" t="n">
        <x:f>IF(SUM('计算底稿'!G22,'计算底稿'!G23)=0,"",D7/SUM('计算底稿'!G22,'计算底稿'!G23)-1)</x:f>
        <x:v>-0.03935860058309015</x:v>
      </x:c>
      <x:c r="F7" s="81" t="n">
        <x:f>SUM(Q7,S7)</x:f>
        <x:v>16.29</x:v>
      </x:c>
      <x:c r="G7" s="82" t="n">
        <x:f>IF(B7=0,"",F7/B7-1)</x:f>
        <x:v>-0.05565217391304356</x:v>
      </x:c>
      <x:c r="H7" s="74"/>
      <x:c r="I7" s="81" t="n">
        <x:f>'计算底稿'!D20</x:f>
        <x:v>9.04</x:v>
      </x:c>
      <x:c r="J7" s="82" t="n">
        <x:f>'计算底稿'!J20</x:f>
        <x:v>-0.23584108199492826</x:v>
      </x:c>
      <x:c r="K7" s="81" t="n">
        <x:f>'计算底稿'!D21</x:f>
        <x:v>8.21</x:v>
      </x:c>
      <x:c r="L7" s="82" t="n">
        <x:f>'计算底稿'!J21</x:f>
        <x:v>-0.2075289575289574</x:v>
      </x:c>
      <x:c r="M7" s="81" t="n">
        <x:f>'计算底稿'!D22</x:f>
        <x:v>9.89</x:v>
      </x:c>
      <x:c r="N7" s="82" t="n">
        <x:f>'计算底稿'!J22</x:f>
        <x:v>-0.014940239043824577</x:v>
      </x:c>
      <x:c r="O7" s="81" t="n">
        <x:f>'计算底稿'!D23</x:f>
        <x:v>9.88</x:v>
      </x:c>
      <x:c r="P7" s="82" t="n">
        <x:f>'计算底稿'!J23</x:f>
        <x:v>-0.06261859582542684</x:v>
      </x:c>
      <x:c r="Q7" s="81" t="n">
        <x:f>'计算底稿'!D24</x:f>
        <x:v>8.86</x:v>
      </x:c>
      <x:c r="R7" s="82" t="n">
        <x:f>'计算底稿'!J24</x:f>
        <x:v>-0.019911504424778736</x:v>
      </x:c>
      <x:c r="S7" s="81" t="n">
        <x:f>'计算底稿'!D25</x:f>
        <x:v>7.43</x:v>
      </x:c>
      <x:c r="T7" s="82" t="n">
        <x:f>'计算底稿'!J25</x:f>
        <x:v>-0.09500609013398309</x:v>
      </x:c>
    </x:row>
    <x:row r="8" ht="23" customHeight="1">
      <x:c r="A8" s="75" t="str">
        <x:v>vivo</x:v>
      </x:c>
      <x:c r="B8" s="81" t="n">
        <x:f>SUM(I8,K8)</x:f>
        <x:v>22.259999999999998</x:v>
      </x:c>
      <x:c r="C8" s="82" t="n">
        <x:f>IF(SUM('计算底稿'!G26,'计算底稿'!G27)=0,"",B8/SUM('计算底稿'!G26,'计算底稿'!G27)-1)</x:f>
        <x:v>-0.047496790757381224</x:v>
      </x:c>
      <x:c r="D8" s="81" t="n">
        <x:f>SUM(M8,O8)</x:f>
        <x:v>23.84</x:v>
      </x:c>
      <x:c r="E8" s="82" t="n">
        <x:f>IF(SUM('计算底稿'!G28,'计算底稿'!G29)=0,"",D8/SUM('计算底稿'!G28,'计算底稿'!G29)-1)</x:f>
        <x:v>-0.08201771274547554</x:v>
      </x:c>
      <x:c r="F8" s="81" t="n">
        <x:f>SUM(Q8,S8)</x:f>
        <x:v>21.03</x:v>
      </x:c>
      <x:c r="G8" s="82" t="n">
        <x:f>IF(B8=0,"",F8/B8-1)</x:f>
        <x:v>-0.05525606469002686</x:v>
      </x:c>
      <x:c r="H8" s="74"/>
      <x:c r="I8" s="78" t="n">
        <x:f>'计算底稿'!D26</x:f>
        <x:v>10.34</x:v>
      </x:c>
      <x:c r="J8" s="79" t="n">
        <x:f>'计算底稿'!J26</x:f>
        <x:v>0.022749752720079064</x:v>
      </x:c>
      <x:c r="K8" s="78" t="n">
        <x:f>'计算底稿'!D27</x:f>
        <x:v>11.92</x:v>
      </x:c>
      <x:c r="L8" s="79" t="n">
        <x:f>'计算底稿'!J27</x:f>
        <x:v>-0.10105580693815985</x:v>
      </x:c>
      <x:c r="M8" s="78" t="n">
        <x:f>'计算底稿'!D28</x:f>
        <x:v>11.81</x:v>
      </x:c>
      <x:c r="N8" s="79" t="n">
        <x:f>'计算底稿'!J28</x:f>
        <x:v>-0.07806401249024197</x:v>
      </x:c>
      <x:c r="O8" s="78" t="n">
        <x:f>'计算底稿'!D29</x:f>
        <x:v>12.03</x:v>
      </x:c>
      <x:c r="P8" s="79" t="n">
        <x:f>'计算底稿'!J29</x:f>
        <x:v>-0.08586626139817632</x:v>
      </x:c>
      <x:c r="Q8" s="78" t="n">
        <x:f>'计算底稿'!D30</x:f>
        <x:v>10.46</x:v>
      </x:c>
      <x:c r="R8" s="79" t="n">
        <x:f>'计算底稿'!J30</x:f>
        <x:v>0.011605415860735047</x:v>
      </x:c>
      <x:c r="S8" s="78" t="n">
        <x:f>'计算底稿'!D31</x:f>
        <x:v>10.57</x:v>
      </x:c>
      <x:c r="T8" s="79" t="n">
        <x:f>'计算底稿'!J31</x:f>
        <x:v>-0.11325503355704691</x:v>
      </x:c>
    </x:row>
    <x:row r="9" ht="23" customHeight="1">
      <x:c r="A9" s="80" t="str">
        <x:v>OPPO</x:v>
      </x:c>
      <x:c r="B9" s="81" t="n">
        <x:f>SUM(I9,K9)</x:f>
        <x:v>23.72</x:v>
      </x:c>
      <x:c r="C9" s="82" t="n">
        <x:f>IF(SUM('计算底稿'!G32,'计算底稿'!G33)=0,"",B9/SUM('计算底稿'!G32,'计算底稿'!G33)-1)</x:f>
        <x:v>-0.006284038542103021</x:v>
      </x:c>
      <x:c r="D9" s="81" t="n">
        <x:f>SUM(M9,O9)</x:f>
        <x:v>23.42</x:v>
      </x:c>
      <x:c r="E9" s="82" t="n">
        <x:f>IF(SUM('计算底稿'!G34,'计算底稿'!G35)=0,"",D9/SUM('计算底稿'!G34,'计算底稿'!G35)-1)</x:f>
        <x:v>0.05685920577617343</x:v>
      </x:c>
      <x:c r="F9" s="81" t="n">
        <x:f>SUM(Q9,S9)</x:f>
        <x:v>21.6</x:v>
      </x:c>
      <x:c r="G9" s="82" t="n">
        <x:f>IF(B9=0,"",F9/B9-1)</x:f>
        <x:v>-0.08937605396290038</x:v>
      </x:c>
      <x:c r="H9" s="74"/>
      <x:c r="I9" s="81" t="n">
        <x:f>'计算底稿'!D32</x:f>
        <x:v>11.99</x:v>
      </x:c>
      <x:c r="J9" s="82" t="n">
        <x:f>'计算底稿'!J32</x:f>
        <x:v>0.02478632478632492</x:v>
      </x:c>
      <x:c r="K9" s="81" t="n">
        <x:f>'计算底稿'!D33</x:f>
        <x:v>11.73</x:v>
      </x:c>
      <x:c r="L9" s="82" t="n">
        <x:f>'计算底稿'!J33</x:f>
        <x:v>-0.03615447822514373</x:v>
      </x:c>
      <x:c r="M9" s="81" t="n">
        <x:f>'计算底稿'!D34</x:f>
        <x:v>10.86</x:v>
      </x:c>
      <x:c r="N9" s="82" t="n">
        <x:f>'计算底稿'!J34</x:f>
        <x:v>0.008356545961002881</x:v>
      </x:c>
      <x:c r="O9" s="81" t="n">
        <x:f>'计算底稿'!D35</x:f>
        <x:v>12.56</x:v>
      </x:c>
      <x:c r="P9" s="82" t="n">
        <x:f>'计算底稿'!J35</x:f>
        <x:v>0.10272168568920104</x:v>
      </x:c>
      <x:c r="Q9" s="81" t="n">
        <x:f>'计算底稿'!D36</x:f>
        <x:v>11.01</x:v>
      </x:c>
      <x:c r="R9" s="82" t="n">
        <x:f>'计算底稿'!J36</x:f>
        <x:v>-0.08173477898248549</x:v>
      </x:c>
      <x:c r="S9" s="81" t="n">
        <x:f>'计算底稿'!D37</x:f>
        <x:v>10.59</x:v>
      </x:c>
      <x:c r="T9" s="82" t="n">
        <x:f>'计算底稿'!J37</x:f>
        <x:v>-0.09718670076726343</x:v>
      </x:c>
    </x:row>
    <x:row r="10" ht="23" customHeight="1">
      <x:c r="A10" s="75" t="str">
        <x:v>Huawei</x:v>
      </x:c>
      <x:c r="B10" s="81" t="n">
        <x:f>SUM(I10,K10)</x:f>
        <x:v>29.92</x:v>
      </x:c>
      <x:c r="C10" s="82" t="n">
        <x:f>IF(SUM('计算底稿'!G38,'计算底稿'!G39)=0,"",B10/SUM('计算底稿'!G38,'计算底稿'!G39)-1)</x:f>
        <x:v>0.05649717514124308</x:v>
      </x:c>
      <x:c r="D10" s="81" t="n">
        <x:f>SUM(M10,O10)</x:f>
        <x:v>26.05</x:v>
      </x:c>
      <x:c r="E10" s="82" t="n">
        <x:f>IF(SUM('计算底稿'!G40,'计算底稿'!G41)=0,"",D10/SUM('计算底稿'!G40,'计算底稿'!G41)-1)</x:f>
        <x:v>-0.019939804364183522</x:v>
      </x:c>
      <x:c r="F10" s="81" t="n">
        <x:f>SUM(Q10,S10)</x:f>
        <x:v>30.75</x:v>
      </x:c>
      <x:c r="G10" s="82" t="n">
        <x:f>IF(B10=0,"",F10/B10-1)</x:f>
        <x:v>0.027740641711229808</x:v>
      </x:c>
      <x:c r="H10" s="74"/>
      <x:c r="I10" s="78" t="n">
        <x:f>'计算底稿'!D38</x:f>
        <x:v>15.02</x:v>
      </x:c>
      <x:c r="J10" s="79" t="n">
        <x:f>'计算底稿'!J38</x:f>
        <x:v>0.11094674556213024</x:v>
      </x:c>
      <x:c r="K10" s="78" t="n">
        <x:f>'计算底稿'!D39</x:f>
        <x:v>14.9</x:v>
      </x:c>
      <x:c r="L10" s="79" t="n">
        <x:f>'计算底稿'!J39</x:f>
        <x:v>0.006756756756756799</x:v>
      </x:c>
      <x:c r="M10" s="78" t="n">
        <x:f>'计算底稿'!D40</x:f>
        <x:v>12.9</x:v>
      </x:c>
      <x:c r="N10" s="79" t="n">
        <x:f>'计算底稿'!J40</x:f>
        <x:v>0.03614457831325302</x:v>
      </x:c>
      <x:c r="O10" s="78" t="n">
        <x:f>'计算底稿'!D41</x:f>
        <x:v>13.15</x:v>
      </x:c>
      <x:c r="P10" s="79" t="n">
        <x:f>'计算底稿'!J41</x:f>
        <x:v>-0.06935598018400568</x:v>
      </x:c>
      <x:c r="Q10" s="78" t="n">
        <x:f>'计算底稿'!D42</x:f>
        <x:v>15.01</x:v>
      </x:c>
      <x:c r="R10" s="79" t="n">
        <x:f>'计算底稿'!J42</x:f>
        <x:v>-0.0006657789613847553</x:v>
      </x:c>
      <x:c r="S10" s="78" t="n">
        <x:f>'计算底稿'!D43</x:f>
        <x:v>15.74</x:v>
      </x:c>
      <x:c r="T10" s="79" t="n">
        <x:f>'计算底稿'!J43</x:f>
        <x:v>0.05637583892617459</x:v>
      </x:c>
    </x:row>
    <x:row r="11" ht="23" customHeight="1">
      <x:c r="A11" s="80" t="str">
        <x:v>Transsion</x:v>
      </x:c>
      <x:c r="B11" s="81" t="n">
        <x:f>SUM(I11,K11)</x:f>
        <x:v>0.2</x:v>
      </x:c>
      <x:c r="C11" s="82" t="n">
        <x:f>IF(SUM('计算底稿'!G44,'计算底稿'!G45)=0,"",B11/SUM('计算底稿'!G44,'计算底稿'!G45)-1)</x:f>
        <x:v>0</x:v>
      </x:c>
      <x:c r="D11" s="81" t="n">
        <x:f>SUM(M11,O11)</x:f>
        <x:v>0.2</x:v>
      </x:c>
      <x:c r="E11" s="82" t="n">
        <x:f>IF(SUM('计算底稿'!G46,'计算底稿'!G47)=0,"",D11/SUM('计算底稿'!G46,'计算底稿'!G47)-1)</x:f>
        <x:v>0</x:v>
      </x:c>
      <x:c r="F11" s="81" t="n">
        <x:f>SUM(Q11,S11)</x:f>
        <x:v>0.2</x:v>
      </x:c>
      <x:c r="G11" s="82" t="n">
        <x:f>IF(B11=0,"",F11/B11-1)</x:f>
        <x:v>0</x:v>
      </x:c>
      <x:c r="H11" s="74"/>
      <x:c r="I11" s="81" t="n">
        <x:f>'计算底稿'!D44</x:f>
        <x:v>0.1</x:v>
      </x:c>
      <x:c r="J11" s="82" t="n">
        <x:f>'计算底稿'!J44</x:f>
        <x:v>0</x:v>
      </x:c>
      <x:c r="K11" s="81" t="n">
        <x:f>'计算底稿'!D45</x:f>
        <x:v>0.1</x:v>
      </x:c>
      <x:c r="L11" s="82" t="n">
        <x:f>'计算底稿'!J45</x:f>
        <x:v>0</x:v>
      </x:c>
      <x:c r="M11" s="81" t="n">
        <x:f>'计算底稿'!D46</x:f>
        <x:v>0.1</x:v>
      </x:c>
      <x:c r="N11" s="82" t="n">
        <x:f>'计算底稿'!J46</x:f>
        <x:v>0</x:v>
      </x:c>
      <x:c r="O11" s="81" t="n">
        <x:f>'计算底稿'!D47</x:f>
        <x:v>0.1</x:v>
      </x:c>
      <x:c r="P11" s="82" t="n">
        <x:f>'计算底稿'!J47</x:f>
        <x:v>0</x:v>
      </x:c>
      <x:c r="Q11" s="81" t="n">
        <x:f>'计算底稿'!D48</x:f>
        <x:v>0.1</x:v>
      </x:c>
      <x:c r="R11" s="82" t="n">
        <x:f>'计算底稿'!J48</x:f>
        <x:v>0</x:v>
      </x:c>
      <x:c r="S11" s="81" t="n">
        <x:f>'计算底稿'!D49</x:f>
        <x:v>0.1</x:v>
      </x:c>
      <x:c r="T11" s="82" t="n">
        <x:f>'计算底稿'!J49</x:f>
        <x:v>0</x:v>
      </x:c>
    </x:row>
    <x:row r="12" ht="23" customHeight="1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</x:row>
    <x:row r="13" ht="23" customHeight="1">
      <x:c r="A13" s="89" t="str">
        <x:v>8厂商合计</x:v>
      </x:c>
      <x:c r="B13" s="90" t="n">
        <x:f>SUM(I13,K13)</x:f>
        <x:v>137.43</x:v>
      </x:c>
      <x:c r="C13" s="91" t="n">
        <x:f>IF(SUM('计算底稿'!G2,'计算底稿'!G8,'计算底稿'!G14,'计算底稿'!G20,'计算底稿'!G26,'计算底稿'!G32,'计算底稿'!G38,'计算底稿'!G44,'计算底稿'!G3,'计算底稿'!G9,'计算底稿'!G15,'计算底稿'!G21,'计算底稿'!G27,'计算底稿'!G33,'计算底稿'!G39,'计算底稿'!G45)=0,"",B13/SUM('计算底稿'!G2,'计算底稿'!G8,'计算底稿'!G14,'计算底稿'!G20,'计算底稿'!G26,'计算底稿'!G32,'计算底稿'!G38,'计算底稿'!G44,'计算底稿'!G3,'计算底稿'!G9,'计算底稿'!G15,'计算底稿'!G21,'计算底稿'!G27,'计算底稿'!G33,'计算底稿'!G39,'计算底稿'!G45)-1)</x:f>
        <x:v>-0.011934718527571997</x:v>
      </x:c>
      <x:c r="D13" s="90" t="n">
        <x:f>SUM(M13,O13)</x:f>
        <x:v>140.95999999999998</x:v>
      </x:c>
      <x:c r="E13" s="91" t="n">
        <x:f>IF(SUM('计算底稿'!G4,'计算底稿'!G10,'计算底稿'!G16,'计算底稿'!G22,'计算底稿'!G28,'计算底稿'!G34,'计算底稿'!G40,'计算底稿'!G46,'计算底稿'!G5,'计算底稿'!G11,'计算底稿'!G17,'计算底稿'!G23,'计算底稿'!G29,'计算底稿'!G35,'计算底稿'!G41,'计算底稿'!G47)=0,"",D13/SUM('计算底稿'!G4,'计算底稿'!G10,'计算底稿'!G16,'计算底稿'!G22,'计算底稿'!G28,'计算底稿'!G34,'计算底稿'!G40,'计算底稿'!G46,'计算底稿'!G5,'计算底稿'!G11,'计算底稿'!G17,'计算底稿'!G23,'计算底稿'!G29,'计算底稿'!G35,'计算底稿'!G41,'计算底稿'!G47)-1)</x:f>
        <x:v>-0.012262630509424888</x:v>
      </x:c>
      <x:c r="F13" s="90" t="n">
        <x:f>SUM(Q13,S13)</x:f>
        <x:v>132.10999999999999</x:v>
      </x:c>
      <x:c r="G13" s="91" t="n">
        <x:f>IF(B13=0,"",F13/B13-1)</x:f>
        <x:v>-0.03871061631375994</x:v>
      </x:c>
      <x:c r="H13" s="89"/>
      <x:c r="I13" s="90" t="n">
        <x:f>SUM(I4:I11)</x:f>
        <x:v>70.14</x:v>
      </x:c>
      <x:c r="J13" s="91" t="n">
        <x:f>IF(SUM('计算底稿'!G2,'计算底稿'!G8,'计算底稿'!G14,'计算底稿'!G20,'计算底稿'!G26,'计算底稿'!G32,'计算底稿'!G38,'计算底稿'!G44)=0,"",I13/SUM('计算底稿'!G2,'计算底稿'!G8,'计算底稿'!G14,'计算底稿'!G20,'计算底稿'!G26,'计算底稿'!G32,'计算底稿'!G38,'计算底稿'!G44)-1)</x:f>
        <x:v>0.03010721104420644</x:v>
      </x:c>
      <x:c r="K13" s="90" t="n">
        <x:f>SUM(K4:K11)</x:f>
        <x:v>67.29</x:v>
      </x:c>
      <x:c r="L13" s="91" t="n">
        <x:f>IF(SUM('计算底稿'!G3,'计算底稿'!G9,'计算底稿'!G15,'计算底稿'!G21,'计算底稿'!G27,'计算底稿'!G33,'计算底稿'!G39,'计算底稿'!G45)=0,"",K13/SUM('计算底稿'!G3,'计算底稿'!G9,'计算底稿'!G15,'计算底稿'!G21,'计算底稿'!G27,'计算底稿'!G33,'计算底稿'!G39,'计算底稿'!G45)-1)</x:f>
        <x:v>-0.052253521126760516</x:v>
      </x:c>
      <x:c r="M13" s="90" t="n">
        <x:f>SUM(M4:M11)</x:f>
        <x:v>66.8</x:v>
      </x:c>
      <x:c r="N13" s="91" t="n">
        <x:f>IF(SUM('计算底稿'!G4,'计算底稿'!G10,'计算底稿'!G16,'计算底稿'!G22,'计算底稿'!G28,'计算底稿'!G34,'计算底稿'!G40,'计算底稿'!G46)=0,"",M13/SUM('计算底稿'!G4,'计算底稿'!G10,'计算底稿'!G16,'计算底稿'!G22,'计算底稿'!G28,'计算底稿'!G34,'计算底稿'!G40,'计算底稿'!G46)-1)</x:f>
        <x:v>-0.011834319526627168</x:v>
      </x:c>
      <x:c r="O13" s="90" t="n">
        <x:f>SUM(O4:O11)</x:f>
        <x:v>74.16</x:v>
      </x:c>
      <x:c r="P13" s="91" t="n">
        <x:f>IF(SUM('计算底稿'!G5,'计算底稿'!G11,'计算底稿'!G17,'计算底稿'!G23,'计算底稿'!G29,'计算底稿'!G35,'计算底稿'!G41,'计算底稿'!G47)=0,"",O13/SUM('计算底稿'!G5,'计算底稿'!G11,'计算底稿'!G17,'计算底稿'!G23,'计算底稿'!G29,'计算底稿'!G35,'计算底稿'!G41,'计算底稿'!G47)-1)</x:f>
        <x:v>-0.012648116096391826</x:v>
      </x:c>
      <x:c r="Q13" s="90" t="n">
        <x:f>SUM(Q4:Q11)</x:f>
        <x:v>67.22</x:v>
      </x:c>
      <x:c r="R13" s="91" t="n">
        <x:f>IF(SUM('计算底稿'!G6,'计算底稿'!G12,'计算底稿'!G18,'计算底稿'!G24,'计算底稿'!G30,'计算底稿'!G36,'计算底稿'!G42,'计算底稿'!G48)=0,"",Q13/SUM('计算底稿'!G6,'计算底稿'!G12,'计算底稿'!G18,'计算底稿'!G24,'计算底稿'!G30,'计算底稿'!G36,'计算底稿'!G42,'计算底稿'!G48)-1)</x:f>
        <x:v>-0.041631023666951816</x:v>
      </x:c>
      <x:c r="S13" s="90" t="n">
        <x:f>SUM(S4:S11)</x:f>
        <x:v>64.88999999999999</x:v>
      </x:c>
      <x:c r="T13" s="91" t="n">
        <x:f>IF(SUM('计算底稿'!G7,'计算底稿'!G13,'计算底稿'!G19,'计算底稿'!G25,'计算底稿'!G31,'计算底稿'!G37,'计算底稿'!G43,'计算底稿'!G49)=0,"",S13/SUM('计算底稿'!G7,'计算底稿'!G13,'计算底稿'!G19,'计算底稿'!G25,'计算底稿'!G31,'计算底稿'!G37,'计算底稿'!G43,'计算底稿'!G49)-1)</x:f>
        <x:v>-0.035666518056175045</x:v>
      </x:c>
    </x:row>
    <x:row r="14" ht="23" customHeight="1">
      <x:c r="A14" s="101" t="str">
        <x:v>中国市场总计</x:v>
      </x:c>
      <x:c r="B14" s="102" t="n">
        <x:f>SUM(I14,K14)</x:f>
        <x:v>140.4</x:v>
      </x:c>
      <x:c r="C14" s="103" t="n">
        <x:f>IF(SUM('计算底稿'!G50,'计算底稿'!G51)=0,"",B14/SUM('计算底稿'!G50,'计算底稿'!G51)-1)</x:f>
        <x:v>-0.0049610205527993445</x:v>
      </x:c>
      <x:c r="D14" s="102" t="n">
        <x:f>SUM(M14,O14)</x:f>
        <x:v>144.2</x:v>
      </x:c>
      <x:c r="E14" s="103" t="n">
        <x:f>IF(SUM('计算底稿'!G52,'计算底稿'!G53)=0,"",D14/SUM('计算底稿'!G52,'计算底稿'!G53)-1)</x:f>
        <x:v>-0.00688705234159781</x:v>
      </x:c>
      <x:c r="F14" s="102" t="n">
        <x:f>SUM(Q14,S14)</x:f>
        <x:v>134.3</x:v>
      </x:c>
      <x:c r="G14" s="103" t="n">
        <x:f>IF(B14=0,"",F14/B14-1)</x:f>
        <x:v>-0.04344729344729337</x:v>
      </x:c>
      <x:c r="H14" s="101"/>
      <x:c r="I14" s="102" t="n">
        <x:f>'计算底稿'!D50</x:f>
        <x:v>71.4</x:v>
      </x:c>
      <x:c r="J14" s="103" t="n">
        <x:f>'计算底稿'!J50</x:f>
        <x:v>0.030303030303030498</x:v>
      </x:c>
      <x:c r="K14" s="102" t="n">
        <x:f>'计算底稿'!D51</x:f>
        <x:v>69</x:v>
      </x:c>
      <x:c r="L14" s="103" t="n">
        <x:f>'计算底稿'!J51</x:f>
        <x:v>-0.03899721448467963</x:v>
      </x:c>
      <x:c r="M14" s="102" t="n">
        <x:f>'计算底稿'!D52</x:f>
        <x:v>68.5</x:v>
      </x:c>
      <x:c r="N14" s="103" t="n">
        <x:f>'计算底稿'!J52</x:f>
        <x:v>-0.0043604651162790775</x:v>
      </x:c>
      <x:c r="O14" s="102" t="n">
        <x:f>'计算底稿'!D53</x:f>
        <x:v>75.7</x:v>
      </x:c>
      <x:c r="P14" s="103" t="n">
        <x:f>'计算底稿'!J53</x:f>
        <x:v>-0.009162303664921545</x:v>
      </x:c>
      <x:c r="Q14" s="102" t="n">
        <x:f>'计算底稿'!D54</x:f>
        <x:v>68.4</x:v>
      </x:c>
      <x:c r="R14" s="103" t="n">
        <x:f>'计算底稿'!J54</x:f>
        <x:v>-0.04201680672268904</x:v>
      </x:c>
      <x:c r="S14" s="102" t="n">
        <x:f>'计算底稿'!D55</x:f>
        <x:v>65.9</x:v>
      </x:c>
      <x:c r="T14" s="103" t="n">
        <x:f>'计算底稿'!J55</x:f>
        <x:v>-0.04492753623188395</x:v>
      </x:c>
    </x:row>
    <x:row r="15" ht="32" customHeight="1">
      <x:c r="A15" s="95" t="str">
        <x:v>中国厂商与市场总量完整保留用户确认准确的看板底稿；YoY按同一份中国底稿计算。</x:v>
      </x:c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</x:row>
  </x:sheetData>
  <x:mergeCells>
    <x:mergeCell ref="A1:T1"/>
    <x:mergeCell ref="A2:A3"/>
    <x:mergeCell ref="B2:C2"/>
    <x:mergeCell ref="D2:E2"/>
    <x:mergeCell ref="F2:G2"/>
    <x:mergeCell ref="I2:J2"/>
    <x:mergeCell ref="K2:L2"/>
    <x:mergeCell ref="M2:N2"/>
    <x:mergeCell ref="O2:P2"/>
    <x:mergeCell ref="Q2:R2"/>
    <x:mergeCell ref="S2:T2"/>
    <x:mergeCell ref="A15:T15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3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</x:cols>
  <x:sheetData>
    <x:row r="1" ht="30" customHeight="1">
      <x:c r="A1" s="72" t="str">
        <x:v>IDC口径海外手机出货｜25Q1–26Q2 + 半年汇总</x:v>
      </x:c>
      <x:c r="B1" s="72"/>
      <x:c r="C1" s="72"/>
      <x:c r="D1" s="72"/>
      <x:c r="E1" s="72"/>
      <x:c r="F1" s="72"/>
      <x:c r="G1" s="72"/>
      <x:c r="H1" s="72"/>
      <x:c r="I1" s="72"/>
      <x:c r="J1" s="72"/>
      <x:c r="K1" s="72"/>
      <x:c r="L1" s="72"/>
      <x:c r="M1" s="72"/>
      <x:c r="N1" s="72"/>
      <x:c r="O1" s="72"/>
      <x:c r="P1" s="72"/>
      <x:c r="Q1" s="72"/>
      <x:c r="R1" s="72"/>
      <x:c r="S1" s="72"/>
      <x:c r="T1" s="72"/>
    </x:row>
    <x:row r="2" ht="23" customHeight="1">
      <x:c r="A2" s="73" t="str">
        <x:v>厂商</x:v>
      </x:c>
      <x:c r="B2" s="73" t="str">
        <x:v>25H1</x:v>
      </x:c>
      <x:c r="C2" s="73"/>
      <x:c r="D2" s="73" t="str">
        <x:v>25H2</x:v>
      </x:c>
      <x:c r="E2" s="73"/>
      <x:c r="F2" s="73" t="str">
        <x:v>26H1</x:v>
      </x:c>
      <x:c r="G2" s="73"/>
      <x:c r="H2" s="74"/>
      <x:c r="I2" s="73" t="str">
        <x:v>25Q1</x:v>
      </x:c>
      <x:c r="J2" s="73"/>
      <x:c r="K2" s="73" t="str">
        <x:v>25Q2</x:v>
      </x:c>
      <x:c r="L2" s="73"/>
      <x:c r="M2" s="73" t="str">
        <x:v>25Q3</x:v>
      </x:c>
      <x:c r="N2" s="73"/>
      <x:c r="O2" s="73" t="str">
        <x:v>25Q4</x:v>
      </x:c>
      <x:c r="P2" s="73"/>
      <x:c r="Q2" s="73" t="str">
        <x:v>26Q1</x:v>
      </x:c>
      <x:c r="R2" s="73"/>
      <x:c r="S2" s="73" t="str">
        <x:v>26Q2</x:v>
      </x:c>
      <x:c r="T2" s="73"/>
    </x:row>
    <x:row r="3" ht="23" customHeight="1">
      <x:c r="A3" s="73"/>
      <x:c r="B3" s="73" t="str">
        <x:v>出货量(M)</x:v>
      </x:c>
      <x:c r="C3" s="73" t="str">
        <x:v>YoY</x:v>
      </x:c>
      <x:c r="D3" s="73" t="str">
        <x:v>出货量(M)</x:v>
      </x:c>
      <x:c r="E3" s="73" t="str">
        <x:v>YoY</x:v>
      </x:c>
      <x:c r="F3" s="73" t="str">
        <x:v>出货量(M)</x:v>
      </x:c>
      <x:c r="G3" s="73" t="str">
        <x:v>YoY</x:v>
      </x:c>
      <x:c r="H3" s="74"/>
      <x:c r="I3" s="73" t="str">
        <x:v>出货量(M)</x:v>
      </x:c>
      <x:c r="J3" s="73" t="str">
        <x:v>YoY</x:v>
      </x:c>
      <x:c r="K3" s="73" t="str">
        <x:v>出货量(M)</x:v>
      </x:c>
      <x:c r="L3" s="73" t="str">
        <x:v>YoY</x:v>
      </x:c>
      <x:c r="M3" s="73" t="str">
        <x:v>出货量(M)</x:v>
      </x:c>
      <x:c r="N3" s="73" t="str">
        <x:v>YoY</x:v>
      </x:c>
      <x:c r="O3" s="73" t="str">
        <x:v>出货量(M)</x:v>
      </x:c>
      <x:c r="P3" s="73" t="str">
        <x:v>YoY</x:v>
      </x:c>
      <x:c r="Q3" s="73" t="str">
        <x:v>出货量(M)</x:v>
      </x:c>
      <x:c r="R3" s="73" t="str">
        <x:v>YoY</x:v>
      </x:c>
      <x:c r="S3" s="73" t="str">
        <x:v>出货量(M)</x:v>
      </x:c>
      <x:c r="T3" s="73" t="str">
        <x:v>YoY</x:v>
      </x:c>
    </x:row>
    <x:row r="4" ht="23" customHeight="1">
      <x:c r="A4" s="75" t="str">
        <x:v>Apple</x:v>
      </x:c>
      <x:c r="B4" s="76" t="n">
        <x:f>SUM(I4,K4)</x:f>
        <x:v>88.1</x:v>
      </x:c>
      <x:c r="C4" s="77" t="n">
        <x:f>IF(SUM('计算底稿'!H2,'计算底稿'!H3)=0,"",B4/SUM('计算底稿'!H2,'计算底稿'!H3)-1)</x:f>
        <x:v>0.1325363157218149</x:v>
      </x:c>
      <x:c r="D4" s="76" t="n">
        <x:f>SUM(M4,O4)</x:f>
        <x:v>113.89</x:v>
      </x:c>
      <x:c r="E4" s="77" t="n">
        <x:f>IF(SUM('计算底稿'!H4,'计算底稿'!H5)=0,"",D4/SUM('计算底稿'!H4,'计算底稿'!H5)-1)</x:f>
        <x:v>0.028909567259915114</x:v>
      </x:c>
      <x:c r="F4" s="76" t="n">
        <x:f>SUM(Q4,S4)</x:f>
        <x:v>92.88999999999999</x:v>
      </x:c>
      <x:c r="G4" s="77" t="n">
        <x:f>IF(B4=0,"",F4/B4-1)</x:f>
        <x:v>0.0543700340522133</x:v>
      </x:c>
      <x:c r="H4" s="74"/>
      <x:c r="I4" s="78" t="n">
        <x:f>'计算底稿'!E2</x:f>
        <x:v>49.29</x:v>
      </x:c>
      <x:c r="J4" s="79" t="n">
        <x:f>'计算底稿'!K2</x:f>
        <x:v>0.17890456828509915</x:v>
      </x:c>
      <x:c r="K4" s="78" t="n">
        <x:f>'计算底稿'!E3</x:f>
        <x:v>38.81</x:v>
      </x:c>
      <x:c r="L4" s="79" t="n">
        <x:f>'计算底稿'!K3</x:f>
        <x:v>0.0786548082267926</x:v>
      </x:c>
      <x:c r="M4" s="78" t="n">
        <x:f>'计算底稿'!E4</x:f>
        <x:v>48.61</x:v>
      </x:c>
      <x:c r="N4" s="79" t="n">
        <x:f>'计算底稿'!K4</x:f>
        <x:v>0.04808106942647683</x:v>
      </x:c>
      <x:c r="O4" s="78" t="n">
        <x:f>'计算底稿'!E5</x:f>
        <x:v>65.28</x:v>
      </x:c>
      <x:c r="P4" s="79" t="n">
        <x:f>'计算底稿'!K5</x:f>
        <x:v>0.015083190794588752</x:v>
      </x:c>
      <x:c r="Q4" s="78" t="n">
        <x:f>'计算底稿'!E6</x:f>
        <x:v>49.019999999999996</x:v>
      </x:c>
      <x:c r="R4" s="79" t="n">
        <x:f>'计算底稿'!K6</x:f>
        <x:v>-0.005477784540474762</x:v>
      </x:c>
      <x:c r="S4" s="78" t="n">
        <x:f>'计算底稿'!E7</x:f>
        <x:v>43.87</x:v>
      </x:c>
      <x:c r="T4" s="79" t="n">
        <x:f>'计算底稿'!K7</x:f>
        <x:v>0.13037876835867035</x:v>
      </x:c>
    </x:row>
    <x:row r="5" ht="23" customHeight="1">
      <x:c r="A5" s="80" t="str">
        <x:v>Samsung</x:v>
      </x:c>
      <x:c r="B5" s="76" t="n">
        <x:f>SUM(I5,K5)</x:f>
        <x:v>117.7</x:v>
      </x:c>
      <x:c r="C5" s="77" t="n">
        <x:f>IF(SUM('计算底稿'!H8,'计算底稿'!H9)=0,"",B5/SUM('计算底稿'!H8,'计算底稿'!H9)-1)</x:f>
        <x:v>0.04159292035398243</x:v>
      </x:c>
      <x:c r="D5" s="76" t="n">
        <x:f>SUM(M5,O5)</x:f>
        <x:v>121.80000000000001</x:v>
      </x:c>
      <x:c r="E5" s="77" t="n">
        <x:f>IF(SUM('计算底稿'!H10,'计算底稿'!H11)=0,"",D5/SUM('计算底稿'!H10,'计算底稿'!H11)-1)</x:f>
        <x:v>0.12258064516129052</x:v>
      </x:c>
      <x:c r="F5" s="76" t="n">
        <x:f>SUM(Q5,S5)</x:f>
        <x:v>124.35</x:v>
      </x:c>
      <x:c r="G5" s="77" t="n">
        <x:f>IF(B5=0,"",F5/B5-1)</x:f>
        <x:v>0.05649957519116389</x:v>
      </x:c>
      <x:c r="H5" s="74"/>
      <x:c r="I5" s="81" t="n">
        <x:f>'计算底稿'!E8</x:f>
        <x:v>60.1</x:v>
      </x:c>
      <x:c r="J5" s="82" t="n">
        <x:f>'计算底稿'!K8</x:f>
        <x:v>0.00670016750418756</x:v>
      </x:c>
      <x:c r="K5" s="81" t="n">
        <x:f>'计算底稿'!E9</x:f>
        <x:v>57.6</x:v>
      </x:c>
      <x:c r="L5" s="82" t="n">
        <x:f>'计算底稿'!K9</x:f>
        <x:v>0.08067542213883683</x:v>
      </x:c>
      <x:c r="M5" s="81" t="n">
        <x:f>'计算底稿'!E10</x:f>
        <x:v>61</x:v>
      </x:c>
      <x:c r="N5" s="82" t="n">
        <x:f>'计算底稿'!K10</x:f>
        <x:v>0.06643356643356646</x:v>
      </x:c>
      <x:c r="O5" s="81" t="n">
        <x:f>'计算底稿'!E11</x:f>
        <x:v>60.800000000000004</x:v>
      </x:c>
      <x:c r="P5" s="82" t="n">
        <x:f>'计算底稿'!K11</x:f>
        <x:v>0.18518518518518512</x:v>
      </x:c>
      <x:c r="Q5" s="81" t="n">
        <x:f>'计算底稿'!E12</x:f>
        <x:v>62</x:v>
      </x:c>
      <x:c r="R5" s="82" t="n">
        <x:f>'计算底稿'!K12</x:f>
        <x:v>0.03161397670549082</x:v>
      </x:c>
      <x:c r="S5" s="81" t="n">
        <x:f>'计算底稿'!E13</x:f>
        <x:v>62.35</x:v>
      </x:c>
      <x:c r="T5" s="82" t="n">
        <x:f>'计算底稿'!K13</x:f>
        <x:v>0.08246527777777768</x:v>
      </x:c>
    </x:row>
    <x:row r="6" ht="23" customHeight="1">
      <x:c r="A6" s="75" t="str">
        <x:v>Xiaomi</x:v>
      </x:c>
      <x:c r="B6" s="76" t="n">
        <x:f>SUM(I6,K6)</x:f>
        <x:v>60.42</x:v>
      </x:c>
      <x:c r="C6" s="77" t="n">
        <x:f>IF(SUM('计算底稿'!H14,'计算底稿'!H15)=0,"",B6/SUM('计算底稿'!H14,'计算底稿'!H15)-1)</x:f>
        <x:v>-0.048054198834094675</x:v>
      </x:c>
      <x:c r="D6" s="76" t="n">
        <x:f>SUM(M6,O6)</x:f>
        <x:v>61.129999999999995</x:v>
      </x:c>
      <x:c r="E6" s="77" t="n">
        <x:f>IF(SUM('计算底稿'!H16,'计算底稿'!H17)=0,"",D6/SUM('计算底稿'!H16,'计算底稿'!H17)-1)</x:f>
        <x:v>-0.031066730068156745</x:v>
      </x:c>
      <x:c r="F6" s="76" t="n">
        <x:f>SUM(Q6,S6)</x:f>
        <x:v>48.22</x:v>
      </x:c>
      <x:c r="G6" s="77" t="n">
        <x:f>IF(B6=0,"",F6/B6-1)</x:f>
        <x:v>-0.2019198940748097</x:v>
      </x:c>
      <x:c r="H6" s="74"/>
      <x:c r="I6" s="78" t="n">
        <x:f>'计算底稿'!E14</x:f>
        <x:v>28.459999999999997</x:v>
      </x:c>
      <x:c r="J6" s="79" t="n">
        <x:f>'计算底稿'!K14</x:f>
        <x:v>-0.08957133717210497</x:v>
      </x:c>
      <x:c r="K6" s="78" t="n">
        <x:f>'计算底稿'!E15</x:f>
        <x:v>31.96</x:v>
      </x:c>
      <x:c r="L6" s="79" t="n">
        <x:f>'计算底稿'!K15</x:f>
        <x:v>-0.007761564731449622</x:v>
      </x:c>
      <x:c r="M6" s="78" t="n">
        <x:f>'计算底稿'!E16</x:f>
        <x:v>33.349999999999994</x:v>
      </x:c>
      <x:c r="N6" s="79" t="n">
        <x:f>'计算底稿'!K16</x:f>
        <x:v>0.023320036821110612</x:v>
      </x:c>
      <x:c r="O6" s="78" t="n">
        <x:f>'计算底稿'!E17</x:f>
        <x:v>27.779999999999998</x:v>
      </x:c>
      <x:c r="P6" s="79" t="n">
        <x:f>'计算底稿'!K17</x:f>
        <x:v>-0.08918032786885266</x:v>
      </x:c>
      <x:c r="Q6" s="78" t="n">
        <x:f>'计算底稿'!E18</x:f>
        <x:v>25.199999999999996</x:v>
      </x:c>
      <x:c r="R6" s="79" t="n">
        <x:f>'计算底稿'!K18</x:f>
        <x:v>-0.1145467322557977</x:v>
      </x:c>
      <x:c r="S6" s="78" t="n">
        <x:f>'计算底稿'!E19</x:f>
        <x:v>23.02</x:v>
      </x:c>
      <x:c r="T6" s="79" t="n">
        <x:f>'计算底稿'!K19</x:f>
        <x:v>-0.2797246558197748</x:v>
      </x:c>
    </x:row>
    <x:row r="7" ht="23" customHeight="1">
      <x:c r="A7" s="80" t="str">
        <x:v>Honor</x:v>
      </x:c>
      <x:c r="B7" s="83" t="n">
        <x:f>SUM(I7,K7)</x:f>
        <x:v>15.95</x:v>
      </x:c>
      <x:c r="C7" s="84" t="n">
        <x:f>IF(SUM('计算底稿'!H20,'计算底稿'!H21)=0,"",B7/SUM('计算底稿'!H20,'计算底稿'!H21)-1)</x:f>
        <x:v>2.003766478342749</x:v>
      </x:c>
      <x:c r="D7" s="83" t="n">
        <x:f>SUM(M7,O7)</x:f>
        <x:v>14.729999999999999</x:v>
      </x:c>
      <x:c r="E7" s="84" t="n">
        <x:f>IF(SUM('计算底稿'!H22,'计算底稿'!H23)=0,"",D7/SUM('计算底稿'!H22,'计算底稿'!H23)-1)</x:f>
        <x:v>1.4881756756756745</x:v>
      </x:c>
      <x:c r="F7" s="83" t="n">
        <x:f>SUM(Q7,S7)</x:f>
        <x:v>23.41</x:v>
      </x:c>
      <x:c r="G7" s="84" t="n">
        <x:f>IF(B7=0,"",F7/B7-1)</x:f>
        <x:v>0.4677115987460816</x:v>
      </x:c>
      <x:c r="H7" s="74"/>
      <x:c r="I7" s="83" t="n">
        <x:f>'计算底稿'!E20</x:f>
        <x:v>7.16</x:v>
      </x:c>
      <x:c r="J7" s="84" t="n">
        <x:f>'计算底稿'!K20</x:f>
        <x:v>2.299539170506913</x:v>
      </x:c>
      <x:c r="K7" s="83" t="n">
        <x:f>'计算底稿'!E21</x:f>
        <x:v>8.79</x:v>
      </x:c>
      <x:c r="L7" s="84" t="n">
        <x:f>'计算底稿'!K21</x:f>
        <x:v>1.79936305732484</x:v>
      </x:c>
      <x:c r="M7" s="83" t="n">
        <x:f>'计算底稿'!E22</x:f>
        <x:v>7.609999999999999</x:v>
      </x:c>
      <x:c r="N7" s="84" t="n">
        <x:f>'计算底稿'!K22</x:f>
        <x:v>1.5709459459459452</x:v>
      </x:c>
      <x:c r="O7" s="83" t="n">
        <x:f>'计算底稿'!E23</x:f>
        <x:v>7.119999999999999</x:v>
      </x:c>
      <x:c r="P7" s="84" t="n">
        <x:f>'计算底稿'!K23</x:f>
        <x:v>1.4054054054054044</x:v>
      </x:c>
      <x:c r="Q7" s="85" t="n">
        <x:f>'计算底稿'!E24</x:f>
        <x:v>11.34</x:v>
      </x:c>
      <x:c r="R7" s="86" t="n">
        <x:f>'计算底稿'!K24</x:f>
        <x:v>0.5837988826815641</x:v>
      </x:c>
      <x:c r="S7" s="83" t="n">
        <x:f>'计算底稿'!E25</x:f>
        <x:v>12.07</x:v>
      </x:c>
      <x:c r="T7" s="84" t="n">
        <x:f>'计算底稿'!K25</x:f>
        <x:v>0.37315130830489207</x:v>
      </x:c>
    </x:row>
    <x:row r="8" ht="23" customHeight="1">
      <x:c r="A8" s="75" t="str">
        <x:v>vivo</x:v>
      </x:c>
      <x:c r="B8" s="76" t="n">
        <x:f>SUM(I8,K8)</x:f>
        <x:v>26.740000000000002</x:v>
      </x:c>
      <x:c r="C8" s="77" t="n">
        <x:f>IF(SUM('计算底稿'!H26,'计算底稿'!H27)=0,"",B8/SUM('计算底稿'!H26,'计算底稿'!H27)-1)</x:f>
        <x:v>0.1221149811162403</x:v>
      </x:c>
      <x:c r="D8" s="76" t="n">
        <x:f>SUM(M8,O8)</x:f>
        <x:v>31.059999999999995</x:v>
      </x:c>
      <x:c r="E8" s="77" t="n">
        <x:f>IF(SUM('计算底稿'!H28,'计算底稿'!H29)=0,"",D8/SUM('计算底稿'!H28,'计算底稿'!H29)-1)</x:f>
        <x:v>0.10415926057589742</x:v>
      </x:c>
      <x:c r="F8" s="76" t="n">
        <x:f>SUM(Q8,S8)</x:f>
        <x:v>21.369999999999997</x:v>
      </x:c>
      <x:c r="G8" s="77" t="n">
        <x:f>IF(B8=0,"",F8/B8-1)</x:f>
        <x:v>-0.20082273747195234</x:v>
      </x:c>
      <x:c r="H8" s="74"/>
      <x:c r="I8" s="78" t="n">
        <x:f>'计算底稿'!E26</x:f>
        <x:v>12.36</x:v>
      </x:c>
      <x:c r="J8" s="79" t="n">
        <x:f>'计算底稿'!K26</x:f>
        <x:v>0.10455764075067009</x:v>
      </x:c>
      <x:c r="K8" s="78" t="n">
        <x:f>'计算底稿'!E27</x:f>
        <x:v>14.38</x:v>
      </x:c>
      <x:c r="L8" s="79" t="n">
        <x:f>'计算底稿'!K27</x:f>
        <x:v>0.13765822784810133</x:v>
      </x:c>
      <x:c r="M8" s="78" t="n">
        <x:f>'计算底稿'!E28</x:f>
        <x:v>16.089999999999996</x:v>
      </x:c>
      <x:c r="N8" s="79" t="n">
        <x:f>'计算底稿'!K28</x:f>
        <x:v>0.1338971106412965</x:v>
      </x:c>
      <x:c r="O8" s="78" t="n">
        <x:f>'计算底稿'!E29</x:f>
        <x:v>14.97</x:v>
      </x:c>
      <x:c r="P8" s="79" t="n">
        <x:f>'计算底稿'!K29</x:f>
        <x:v>0.07388809182209455</x:v>
      </x:c>
      <x:c r="Q8" s="78" t="n">
        <x:f>'计算底稿'!E30</x:f>
        <x:v>10.739999999999998</x:v>
      </x:c>
      <x:c r="R8" s="79" t="n">
        <x:f>'计算底稿'!K30</x:f>
        <x:v>-0.1310679611650486</x:v>
      </x:c>
      <x:c r="S8" s="78" t="n">
        <x:f>'计算底稿'!E31</x:f>
        <x:v>10.629999999999999</x:v>
      </x:c>
      <x:c r="T8" s="79" t="n">
        <x:f>'计算底稿'!K31</x:f>
        <x:v>-0.2607788595271211</x:v>
      </x:c>
    </x:row>
    <x:row r="9" ht="23" customHeight="1">
      <x:c r="A9" s="80" t="str">
        <x:v>OPPO</x:v>
      </x:c>
      <x:c r="B9" s="76" t="n">
        <x:f>SUM(I9,K9)</x:f>
        <x:v>45.28</x:v>
      </x:c>
      <x:c r="C9" s="77" t="n">
        <x:f>IF(SUM('计算底稿'!H32,'计算底稿'!H33)=0,"",B9/SUM('计算底稿'!H32,'计算底稿'!H33)-1)</x:f>
        <x:v>0.5333559092448357</x:v>
      </x:c>
      <x:c r="D9" s="87" t="n">
        <x:f>SUM(M9,O9)</x:f>
        <x:v>29.979999999999997</x:v>
      </x:c>
      <x:c r="E9" s="88" t="n">
        <x:f>IF(SUM('计算底稿'!H34,'计算底稿'!H35)=0,"",D9/SUM('计算底稿'!H34,'计算底稿'!H35)-1)</x:f>
        <x:v>0.03952843273231621</x:v>
      </x:c>
      <x:c r="F9" s="76" t="n">
        <x:f>SUM(Q9,S9)</x:f>
        <x:v>37.9</x:v>
      </x:c>
      <x:c r="G9" s="77" t="n">
        <x:f>IF(B9=0,"",F9/B9-1)</x:f>
        <x:v>-0.16298586572438167</x:v>
      </x:c>
      <x:c r="H9" s="74"/>
      <x:c r="I9" s="81" t="n">
        <x:f>'计算底稿'!E32</x:f>
        <x:v>22.11</x:v>
      </x:c>
      <x:c r="J9" s="82" t="n">
        <x:f>'计算底稿'!K32</x:f>
        <x:v>0.6377777777777778</x:v>
      </x:c>
      <x:c r="K9" s="81" t="n">
        <x:f>'计算底稿'!E33</x:f>
        <x:v>23.169999999999998</x:v>
      </x:c>
      <x:c r="L9" s="82" t="n">
        <x:f>'计算底稿'!K33</x:f>
        <x:v>0.44541484716157176</x:v>
      </x:c>
      <x:c r="M9" s="87" t="n">
        <x:f>'计算底稿'!E34</x:f>
        <x:v>15.64</x:v>
      </x:c>
      <x:c r="N9" s="88" t="n">
        <x:f>'计算底稿'!K34</x:f>
        <x:v>0.02692055154300732</x:v>
      </x:c>
      <x:c r="O9" s="87" t="n">
        <x:f>'计算底稿'!E35</x:f>
        <x:v>14.339999999999998</x:v>
      </x:c>
      <x:c r="P9" s="88" t="n">
        <x:f>'计算底稿'!K35</x:f>
        <x:v>0.053637031594415685</x:v>
      </x:c>
      <x:c r="Q9" s="81" t="n">
        <x:f>'计算底稿'!E36</x:f>
        <x:v>19.689999999999998</x:v>
      </x:c>
      <x:c r="R9" s="82" t="n">
        <x:f>'计算底稿'!K36</x:f>
        <x:v>-0.10945273631840802</x:v>
      </x:c>
      <x:c r="S9" s="81" t="n">
        <x:f>'计算底稿'!E37</x:f>
        <x:v>18.21</x:v>
      </x:c>
      <x:c r="T9" s="82" t="n">
        <x:f>'计算底稿'!K37</x:f>
        <x:v>-0.21406991799741037</x:v>
      </x:c>
    </x:row>
    <x:row r="10" ht="23" customHeight="1">
      <x:c r="A10" s="75" t="str">
        <x:v>Huawei</x:v>
      </x:c>
      <x:c r="B10" s="83" t="n">
        <x:f>SUM(I10,K10)</x:f>
        <x:v>2.7799999999999994</x:v>
      </x:c>
      <x:c r="C10" s="84" t="n">
        <x:f>IF(SUM('计算底稿'!H38,'计算底稿'!H39)=0,"",B10/SUM('计算底稿'!H38,'计算底稿'!H39)-1)</x:f>
        <x:v>0</x:v>
      </x:c>
      <x:c r="D10" s="83" t="n">
        <x:f>SUM(M10,O10)</x:f>
        <x:v>2.8499999999999996</x:v>
      </x:c>
      <x:c r="E10" s="84" t="n">
        <x:f>IF(SUM('计算底稿'!H40,'计算底稿'!H41)=0,"",D10/SUM('计算底稿'!H40,'计算底稿'!H41)-1)</x:f>
        <x:v>0.010638297872340274</x:v>
      </x:c>
      <x:c r="F10" s="83" t="n">
        <x:f>SUM(Q10,S10)</x:f>
        <x:v>5.449999999999999</x:v>
      </x:c>
      <x:c r="G10" s="84" t="n">
        <x:f>IF(B10=0,"",F10/B10-1)</x:f>
        <x:v>0.9604316546762592</x:v>
      </x:c>
      <x:c r="H10" s="74"/>
      <x:c r="I10" s="83" t="n">
        <x:f>'计算底稿'!E38</x:f>
        <x:v>1.379999999999999</x:v>
      </x:c>
      <x:c r="J10" s="84" t="n">
        <x:f>'计算底稿'!K38</x:f>
        <x:v>-1.3322676295501878e-15</x:v>
      </x:c>
      <x:c r="K10" s="83" t="n">
        <x:f>'计算底稿'!E39</x:f>
        <x:v>1.4000000000000004</x:v>
      </x:c>
      <x:c r="L10" s="84" t="n">
        <x:f>'计算底稿'!K39</x:f>
        <x:v>1.3322676295501878e-15</x:v>
      </x:c>
      <x:c r="M10" s="83" t="n">
        <x:f>'计算底稿'!E40</x:f>
        <x:v>1.4000000000000004</x:v>
      </x:c>
      <x:c r="N10" s="84" t="n">
        <x:f>'计算底稿'!K40</x:f>
        <x:v>0.03703703703703631</x:v>
      </x:c>
      <x:c r="O10" s="83" t="n">
        <x:f>'计算底稿'!E41</x:f>
        <x:v>1.4499999999999993</x:v>
      </x:c>
      <x:c r="P10" s="84" t="n">
        <x:f>'计算底稿'!K41</x:f>
        <x:v>-0.01360544217687043</x:v>
      </x:c>
      <x:c r="Q10" s="83" t="n">
        <x:f>'计算底稿'!E42</x:f>
        <x:v>1.4900000000000002</x:v>
      </x:c>
      <x:c r="R10" s="84" t="n">
        <x:f>'计算底稿'!K42</x:f>
        <x:v>0.07971014492753725</x:v>
      </x:c>
      <x:c r="S10" s="85" t="n">
        <x:f>'计算底稿'!E43</x:f>
        <x:v>3.959999999999999</x:v>
      </x:c>
      <x:c r="T10" s="86" t="n">
        <x:f>'计算底稿'!K43</x:f>
        <x:v>1.8285714285714274</x:v>
      </x:c>
    </x:row>
    <x:row r="11" ht="23" customHeight="1">
      <x:c r="A11" s="80" t="str">
        <x:v>Transsion</x:v>
      </x:c>
      <x:c r="B11" s="83" t="n">
        <x:f>SUM(I11,K11)</x:f>
        <x:v>49.9</x:v>
      </x:c>
      <x:c r="C11" s="84" t="n">
        <x:f>IF(SUM('计算底稿'!H44,'计算底稿'!H45)=0,"",B11/SUM('计算底稿'!H44,'计算底稿'!H45)-1)</x:f>
        <x:v>-0.07249070631970256</x:v>
      </x:c>
      <x:c r="D11" s="83" t="n">
        <x:f>SUM(M11,O11)</x:f>
        <x:v>54</x:v>
      </x:c>
      <x:c r="E11" s="84" t="n">
        <x:f>IF(SUM('计算底稿'!H46,'计算底稿'!H47)=0,"",D11/SUM('计算底稿'!H46,'计算底稿'!H47)-1)</x:f>
        <x:v>0.0609037328094304</x:v>
      </x:c>
      <x:c r="F11" s="83" t="n">
        <x:f>SUM(Q11,S11)</x:f>
        <x:v>37.8</x:v>
      </x:c>
      <x:c r="G11" s="84" t="n">
        <x:f>IF(B11=0,"",F11/B11-1)</x:f>
        <x:v>-0.24248496993987978</x:v>
      </x:c>
      <x:c r="H11" s="74"/>
      <x:c r="I11" s="83" t="n">
        <x:f>'计算底稿'!E44</x:f>
        <x:v>24.9</x:v>
      </x:c>
      <x:c r="J11" s="84" t="n">
        <x:f>'计算底稿'!K44</x:f>
        <x:v>-0.12323943661971837</x:v>
      </x:c>
      <x:c r="K11" s="81" t="n">
        <x:f>'计算底稿'!E45</x:f>
        <x:v>25</x:v>
      </x:c>
      <x:c r="L11" s="82" t="n">
        <x:f>'计算底稿'!K45</x:f>
        <x:v>-0.015748031496062964</x:v>
      </x:c>
      <x:c r="M11" s="81" t="n">
        <x:f>'计算底稿'!E46</x:f>
        <x:v>29.099999999999998</x:v>
      </x:c>
      <x:c r="N11" s="82" t="n">
        <x:f>'计算底稿'!K46</x:f>
        <x:v>0.13671875</x:v>
      </x:c>
      <x:c r="O11" s="83" t="n">
        <x:f>'计算底稿'!E47</x:f>
        <x:v>24.9</x:v>
      </x:c>
      <x:c r="P11" s="84" t="n">
        <x:f>'计算底稿'!K47</x:f>
        <x:v>-0.015810276679841806</x:v>
      </x:c>
      <x:c r="Q11" s="83" t="n">
        <x:f>'计算底稿'!E48</x:f>
        <x:v>19.4</x:v>
      </x:c>
      <x:c r="R11" s="84" t="n">
        <x:f>'计算底稿'!K48</x:f>
        <x:v>-0.22088353413654616</x:v>
      </x:c>
      <x:c r="S11" s="83" t="n">
        <x:f>'计算底稿'!E49</x:f>
        <x:v>18.4</x:v>
      </x:c>
      <x:c r="T11" s="84" t="n">
        <x:f>'计算底稿'!K49</x:f>
        <x:v>-0.264</x:v>
      </x:c>
    </x:row>
    <x:row r="12" ht="23" customHeight="1">
      <x:c r="A12" s="74"/>
      <x:c r="B12" s="74"/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  <x:c r="O12" s="74"/>
      <x:c r="P12" s="74"/>
      <x:c r="Q12" s="74"/>
      <x:c r="R12" s="74"/>
      <x:c r="S12" s="74"/>
      <x:c r="T12" s="74"/>
    </x:row>
    <x:row r="13" ht="23" customHeight="1">
      <x:c r="A13" s="89" t="str">
        <x:v>8厂商合计</x:v>
      </x:c>
      <x:c r="B13" s="90" t="n">
        <x:f>SUM(I13,K13)</x:f>
        <x:v>406.87</x:v>
      </x:c>
      <x:c r="C13" s="91" t="n">
        <x:f>IF(SUM('计算底稿'!H2,'计算底稿'!H8,'计算底稿'!H14,'计算底稿'!H20,'计算底稿'!H26,'计算底稿'!H32,'计算底稿'!H38,'计算底稿'!H44,'计算底稿'!H3,'计算底稿'!H9,'计算底稿'!H15,'计算底稿'!H21,'计算底稿'!H27,'计算底稿'!H33,'计算底稿'!H39,'计算底稿'!H45)=0,"",B13/SUM('计算底稿'!H2,'计算底稿'!H8,'计算底稿'!H14,'计算底稿'!H20,'计算底稿'!H26,'计算底稿'!H32,'计算底稿'!H38,'计算底稿'!H44,'计算底稿'!H3,'计算底稿'!H9,'计算底稿'!H15,'计算底稿'!H21,'计算底稿'!H27,'计算底稿'!H33,'计算底稿'!H39,'计算底稿'!H45)-1)</x:f>
        <x:v>0.10110687126194184</x:v>
      </x:c>
      <x:c r="D13" s="90" t="n">
        <x:f>SUM(M13,O13)</x:f>
        <x:v>429.44000000000005</x:v>
      </x:c>
      <x:c r="E13" s="91" t="n">
        <x:f>IF(SUM('计算底稿'!H4,'计算底稿'!H10,'计算底稿'!H16,'计算底稿'!H22,'计算底稿'!H28,'计算底稿'!H34,'计算底稿'!H40,'计算底稿'!H46,'计算底稿'!H5,'计算底稿'!H11,'计算底稿'!H17,'计算底稿'!H23,'计算底稿'!H29,'计算底稿'!H35,'计算底稿'!H41,'计算底稿'!H47)=0,"",D13/SUM('计算底稿'!H4,'计算底稿'!H10,'计算底稿'!H16,'计算底稿'!H22,'计算底稿'!H28,'计算底稿'!H34,'计算底稿'!H40,'计算底稿'!H46,'计算底稿'!H5,'计算底稿'!H11,'计算底稿'!H17,'计算底稿'!H23,'计算底稿'!H29,'计算底稿'!H35,'计算底稿'!H41,'计算底稿'!H47)-1)</x:f>
        <x:v>0.07658753039685129</x:v>
      </x:c>
      <x:c r="F13" s="90" t="n">
        <x:f>SUM(Q13,S13)</x:f>
        <x:v>391.39000000000004</x:v>
      </x:c>
      <x:c r="G13" s="91" t="n">
        <x:f>IF(B13=0,"",F13/B13-1)</x:f>
        <x:v>-0.03804655049524408</x:v>
      </x:c>
      <x:c r="H13" s="89"/>
      <x:c r="I13" s="90" t="n">
        <x:f>SUM(I4:I11)</x:f>
        <x:v>205.76000000000002</x:v>
      </x:c>
      <x:c r="J13" s="91" t="n">
        <x:f>IF(SUM('计算底稿'!H2,'计算底稿'!H8,'计算底稿'!H14,'计算底稿'!H20,'计算底稿'!H26,'计算底稿'!H32,'计算底稿'!H38,'计算底稿'!H44)=0,"",I13/SUM('计算底稿'!H2,'计算底稿'!H8,'计算底稿'!H14,'计算底稿'!H20,'计算底稿'!H26,'计算底稿'!H32,'计算底稿'!H38,'计算底稿'!H44)-1)</x:f>
        <x:v>0.08632068000633564</x:v>
      </x:c>
      <x:c r="K13" s="90" t="n">
        <x:f>SUM(K4:K11)</x:f>
        <x:v>201.10999999999999</x:v>
      </x:c>
      <x:c r="L13" s="91" t="n">
        <x:f>IF(SUM('计算底稿'!H3,'计算底稿'!H9,'计算底稿'!H15,'计算底稿'!H21,'计算底稿'!H27,'计算底稿'!H33,'计算底稿'!H39,'计算底稿'!H45)=0,"",K13/SUM('计算底稿'!H3,'计算底稿'!H9,'计算底稿'!H15,'计算底稿'!H21,'计算底稿'!H27,'计算底稿'!H33,'计算底稿'!H39,'计算底稿'!H45)-1)</x:f>
        <x:v>0.11665741254858397</x:v>
      </x:c>
      <x:c r="M13" s="90" t="n">
        <x:f>SUM(M4:M11)</x:f>
        <x:v>212.8</x:v>
      </x:c>
      <x:c r="N13" s="91" t="n">
        <x:f>IF(SUM('计算底稿'!H4,'计算底稿'!H10,'计算底稿'!H16,'计算底稿'!H22,'计算底稿'!H28,'计算底稿'!H34,'计算底稿'!H40,'计算底稿'!H46)=0,"",M13/SUM('计算底稿'!H4,'计算底稿'!H10,'计算底稿'!H16,'计算底稿'!H22,'计算底稿'!H28,'计算底稿'!H34,'计算底稿'!H40,'计算底稿'!H46)-1)</x:f>
        <x:v>0.08849104859335055</x:v>
      </x:c>
      <x:c r="O13" s="90" t="n">
        <x:f>SUM(O4:O11)</x:f>
        <x:v>216.64000000000001</x:v>
      </x:c>
      <x:c r="P13" s="91" t="n">
        <x:f>IF(SUM('计算底稿'!H5,'计算底稿'!H11,'计算底稿'!H17,'计算底稿'!H23,'计算底稿'!H29,'计算底稿'!H35,'计算底稿'!H41,'计算底稿'!H47)=0,"",O13/SUM('计算底稿'!H5,'计算底稿'!H11,'计算底稿'!H17,'计算底稿'!H23,'计算底稿'!H29,'计算底稿'!H35,'计算底稿'!H41,'计算底稿'!H47)-1)</x:f>
        <x:v>0.06514577904518437</x:v>
      </x:c>
      <x:c r="Q13" s="90" t="n">
        <x:f>SUM(Q4:Q11)</x:f>
        <x:v>198.88000000000002</x:v>
      </x:c>
      <x:c r="R13" s="91" t="n">
        <x:f>IF(SUM('计算底稿'!H6,'计算底稿'!H12,'计算底稿'!H18,'计算底稿'!H24,'计算底稿'!H30,'计算底稿'!H36,'计算底稿'!H42,'计算底稿'!H48)=0,"",Q13/SUM('计算底稿'!H6,'计算底稿'!H12,'计算底稿'!H18,'计算底稿'!H24,'计算底稿'!H30,'计算底稿'!H36,'计算底稿'!H42,'计算底稿'!H48)-1)</x:f>
        <x:v>-0.033437013996889586</x:v>
      </x:c>
      <x:c r="S13" s="90" t="n">
        <x:f>SUM(S4:S11)</x:f>
        <x:v>192.51000000000002</x:v>
      </x:c>
      <x:c r="T13" s="91" t="n">
        <x:f>IF(SUM('计算底稿'!H7,'计算底稿'!H13,'计算底稿'!H19,'计算底稿'!H25,'计算底稿'!H31,'计算底稿'!H37,'计算底稿'!H43,'计算底稿'!H49)=0,"",S13/SUM('计算底稿'!H7,'计算底稿'!H13,'计算底稿'!H19,'计算底稿'!H25,'计算底稿'!H31,'计算底稿'!H37,'计算底稿'!H43,'计算底稿'!H49)-1)</x:f>
        <x:v>-0.042762667197056126</x:v>
      </x:c>
    </x:row>
    <x:row r="14" ht="23" customHeight="1">
      <x:c r="A14" s="109" t="str">
        <x:v>海外市场总计</x:v>
      </x:c>
      <x:c r="B14" s="110" t="n">
        <x:f>SUM(I14,K14)</x:f>
        <x:v>459.6</x:v>
      </x:c>
      <x:c r="C14" s="111" t="n">
        <x:f>IF(SUM('计算底稿'!H50,'计算底稿'!H51)=0,"",B14/SUM('计算底稿'!H50,'计算底稿'!H51)-1)</x:f>
        <x:v>0.018165706690296934</x:v>
      </x:c>
      <x:c r="D14" s="110" t="n">
        <x:f>SUM(M14,O14)</x:f>
        <x:v>517.8</x:v>
      </x:c>
      <x:c r="E14" s="111" t="n">
        <x:f>IF(SUM('计算底稿'!H52,'计算底稿'!H53)=0,"",D14/SUM('计算底稿'!H52,'计算底稿'!H53)-1)</x:f>
        <x:v>0.03913305237808551</x:v>
      </x:c>
      <x:c r="F14" s="110" t="n">
        <x:f>SUM(Q14,S14)</x:f>
        <x:v>437</x:v>
      </x:c>
      <x:c r="G14" s="111" t="n">
        <x:f>IF(B14=0,"",F14/B14-1)</x:f>
        <x:v>-0.04917319408181031</x:v>
      </x:c>
      <x:c r="H14" s="109"/>
      <x:c r="I14" s="110" t="n">
        <x:f>'计算底稿'!E50</x:f>
        <x:v>231.20000000000002</x:v>
      </x:c>
      <x:c r="J14" s="111" t="n">
        <x:f>'计算底稿'!K50</x:f>
        <x:v>0.0008658008658009031</x:v>
      </x:c>
      <x:c r="K14" s="110" t="n">
        <x:f>'计算底稿'!E51</x:f>
        <x:v>228.39999999999998</x:v>
      </x:c>
      <x:c r="L14" s="111" t="n">
        <x:f>'计算底稿'!K51</x:f>
        <x:v>0.0362976406533575</x:v>
      </x:c>
      <x:c r="M14" s="110" t="n">
        <x:f>'计算底稿'!E52</x:f>
        <x:v>257.2</x:v>
      </x:c>
      <x:c r="N14" s="111" t="n">
        <x:f>'计算底稿'!K52</x:f>
        <x:v>0.04595363969093125</x:v>
      </x:c>
      <x:c r="O14" s="110" t="n">
        <x:f>'计算底稿'!E53</x:f>
        <x:v>260.6</x:v>
      </x:c>
      <x:c r="P14" s="111" t="n">
        <x:f>'计算底稿'!K53</x:f>
        <x:v>0.032488114104595844</x:v>
      </x:c>
      <x:c r="Q14" s="110" t="n">
        <x:f>'计算底稿'!E54</x:f>
        <x:v>225.4</x:v>
      </x:c>
      <x:c r="R14" s="111" t="n">
        <x:f>'计算底稿'!K54</x:f>
        <x:v>-0.025086505190311414</x:v>
      </x:c>
      <x:c r="S14" s="110" t="n">
        <x:f>'计算底稿'!E55</x:f>
        <x:v>211.6</x:v>
      </x:c>
      <x:c r="T14" s="111" t="n">
        <x:f>'计算底稿'!K55</x:f>
        <x:v>-0.07355516637478099</x:v>
      </x:c>
    </x:row>
    <x:row r="15" ht="32" customHeight="1">
      <x:c r="A15" s="95" t="str">
        <x:v>海外不是IDC直接公布字段；每个单元格均为全球出货减中国出货，YoY按倒减后的同期值计算。</x:v>
      </x:c>
      <x:c r="B15" s="95"/>
      <x:c r="C15" s="95"/>
      <x:c r="D15" s="95"/>
      <x:c r="E15" s="95"/>
      <x:c r="F15" s="95"/>
      <x:c r="G15" s="95"/>
      <x:c r="H15" s="95"/>
      <x:c r="I15" s="95"/>
      <x:c r="J15" s="95"/>
      <x:c r="K15" s="95"/>
      <x:c r="L15" s="95"/>
      <x:c r="M15" s="95"/>
      <x:c r="N15" s="95"/>
      <x:c r="O15" s="95"/>
      <x:c r="P15" s="95"/>
      <x:c r="Q15" s="95"/>
      <x:c r="R15" s="95"/>
      <x:c r="S15" s="95"/>
      <x:c r="T15" s="95"/>
    </x:row>
  </x:sheetData>
  <x:mergeCells>
    <x:mergeCell ref="A1:T1"/>
    <x:mergeCell ref="A2:A3"/>
    <x:mergeCell ref="B2:C2"/>
    <x:mergeCell ref="D2:E2"/>
    <x:mergeCell ref="F2:G2"/>
    <x:mergeCell ref="I2:J2"/>
    <x:mergeCell ref="K2:L2"/>
    <x:mergeCell ref="M2:N2"/>
    <x:mergeCell ref="O2:P2"/>
    <x:mergeCell ref="Q2:R2"/>
    <x:mergeCell ref="S2:T2"/>
    <x:mergeCell ref="A15:T1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4" hidden="0" customWidth="1"/>
    <x:col min="9" max="9" width="34" hidden="0" customWidth="1"/>
    <x:col min="10" max="10" width="48" hidden="0" customWidth="1"/>
    <x:col min="11" max="11" width="62" hidden="0" customWidth="1"/>
    <x:col min="12" max="12" width="44" hidden="0" customWidth="1"/>
  </x:cols>
  <x:sheetData>
    <x:row r="1">
      <x:c r="A1" s="10" t="str">
        <x:v>季度</x:v>
      </x:c>
      <x:c r="B1" s="10" t="str">
        <x:v>厂商</x:v>
      </x:c>
      <x:c r="C1" s="10" t="str">
        <x:v>全球出货(M)</x:v>
      </x:c>
      <x:c r="D1" s="10" t="str">
        <x:v>中国出货(M)</x:v>
      </x:c>
      <x:c r="E1" s="10" t="str">
        <x:v>海外出货(M)</x:v>
      </x:c>
      <x:c r="F1" s="10" t="str">
        <x:v>海外公式核对</x:v>
      </x:c>
      <x:c r="G1" s="10" t="str">
        <x:v>全球YoY展示</x:v>
      </x:c>
      <x:c r="H1" s="10" t="str">
        <x:v>全球值校验结论</x:v>
      </x:c>
      <x:c r="I1" s="10" t="str">
        <x:v>来源状态</x:v>
      </x:c>
      <x:c r="J1" s="10" t="str">
        <x:v>来源说明</x:v>
      </x:c>
      <x:c r="K1" s="10" t="str">
        <x:v>来源URL</x:v>
      </x:c>
      <x:c r="L1" s="10" t="str">
        <x:v>口径备注</x:v>
      </x:c>
    </x:row>
    <x:row r="2">
      <x:c r="A2" s="118" t="str">
        <x:v>25Q1</x:v>
      </x:c>
      <x:c r="B2" s="118" t="str">
        <x:v>Apple</x:v>
      </x:c>
      <x:c r="C2" s="119" t="n">
        <x:f>'计算底稿'!C2</x:f>
        <x:v>59.1</x:v>
      </x:c>
      <x:c r="D2" s="119" t="n">
        <x:f>'计算底稿'!D2</x:f>
        <x:v>9.81</x:v>
      </x:c>
      <x:c r="E2" s="119" t="n">
        <x:f>'计算底稿'!E2</x:f>
        <x:v>49.29</x:v>
      </x:c>
      <x:c r="F2" s="120" t="str">
        <x:f>IF(ABS(E2-(C2-D2))&lt;0.000001,"PASS","FAIL")</x:f>
        <x:v>PASS</x:v>
      </x:c>
      <x:c r="G2" s="121" t="n">
        <x:f>'计算底稿'!P2</x:f>
        <x:v>0.12357414448669202</x:v>
      </x:c>
      <x:c r="H2" s="122" t="str">
        <x:f>'计算底稿'!O2</x:f>
        <x:v>与IDC公开表一致</x:v>
      </x:c>
      <x:c r="I2" s="122" t="str">
        <x:f>'计算底稿'!L2</x:f>
        <x:v>IDC_REVISED</x:v>
      </x:c>
      <x:c r="J2" s="122" t="str">
        <x:f>'计算底稿'!M2</x:f>
        <x:v>IDC 26Q1最终历史表中回溯重列的25Q1对比值</x:v>
      </x:c>
      <x:c r="K2" s="122" t="str">
        <x:f>'计算底稿'!N2</x:f>
        <x:v>https://www.idc.com/promo/smartphone-market-share/market-share/</x:v>
      </x:c>
      <x:c r="L2" s="122" t="str">
        <x:v>全球绝对量已与IDC公开表逐项对齐</x:v>
      </x:c>
    </x:row>
    <x:row r="3">
      <x:c r="A3" s="118" t="str">
        <x:v>25Q2</x:v>
      </x:c>
      <x:c r="B3" s="118" t="str">
        <x:v>Apple</x:v>
      </x:c>
      <x:c r="C3" s="119" t="n">
        <x:f>'计算底稿'!C3</x:f>
        <x:v>48.4</x:v>
      </x:c>
      <x:c r="D3" s="119" t="n">
        <x:f>'计算底稿'!D3</x:f>
        <x:v>9.59</x:v>
      </x:c>
      <x:c r="E3" s="119" t="n">
        <x:f>'计算底稿'!E3</x:f>
        <x:v>38.81</x:v>
      </x:c>
      <x:c r="F3" s="120" t="str">
        <x:f>IF(ABS(E3-(C3-D3))&lt;0.000001,"PASS","FAIL")</x:f>
        <x:v>PASS</x:v>
      </x:c>
      <x:c r="G3" s="121" t="n">
        <x:f>'计算底稿'!P3</x:f>
        <x:v>0.05908096280087527</x:v>
      </x:c>
      <x:c r="H3" s="122" t="str">
        <x:f>'计算底稿'!O3</x:f>
        <x:v>与IDC公开表一致</x:v>
      </x:c>
      <x:c r="I3" s="122" t="str">
        <x:f>'计算底稿'!L3</x:f>
        <x:v>IDC_REVISED</x:v>
      </x:c>
      <x:c r="J3" s="122" t="str">
        <x:f>'计算底稿'!M3</x:f>
        <x:v>IDC 26Q2公开表中回溯重列的25Q2对比值</x:v>
      </x:c>
      <x:c r="K3" s="122" t="str">
        <x:f>'计算底稿'!N3</x:f>
        <x:v>https://www.idc.com/resource-center/press-releases/2q26-mpt-top5/</x:v>
      </x:c>
      <x:c r="L3" s="122" t="str">
        <x:v>全球绝对量已与IDC公开表逐项对齐</x:v>
      </x:c>
    </x:row>
    <x:row r="4">
      <x:c r="A4" s="118" t="str">
        <x:v>25Q3</x:v>
      </x:c>
      <x:c r="B4" s="118" t="str">
        <x:v>Apple</x:v>
      </x:c>
      <x:c r="C4" s="119" t="n">
        <x:f>'计算底稿'!C4</x:f>
        <x:v>59.4</x:v>
      </x:c>
      <x:c r="D4" s="119" t="n">
        <x:f>'计算底稿'!D4</x:f>
        <x:v>10.79</x:v>
      </x:c>
      <x:c r="E4" s="119" t="n">
        <x:f>'计算底稿'!E4</x:f>
        <x:v>48.61</x:v>
      </x:c>
      <x:c r="F4" s="120" t="str">
        <x:f>IF(ABS(E4-(C4-D4))&lt;0.000001,"PASS","FAIL")</x:f>
        <x:v>PASS</x:v>
      </x:c>
      <x:c r="G4" s="121" t="n">
        <x:f>'计算底稿'!P4</x:f>
        <x:v>0.040999999999999995</x:v>
      </x:c>
      <x:c r="H4" s="122" t="str">
        <x:f>'计算底稿'!O4</x:f>
        <x:v>与IDC公开表一致</x:v>
      </x:c>
      <x:c r="I4" s="122" t="str">
        <x:f>'计算底稿'!L4</x:f>
        <x:v>IDC_FINAL</x:v>
      </x:c>
      <x:c r="J4" s="122" t="str">
        <x:f>'计算底稿'!M4</x:f>
        <x:v>IDC 25Q3历史数据，2025-11-06</x:v>
      </x:c>
      <x:c r="K4" s="122" t="str">
        <x:f>'计算底稿'!N4</x:f>
        <x:v>https://www.idc.com/promo/smartphone-market-share/?submit=Search</x:v>
      </x:c>
      <x:c r="L4" s="122" t="str">
        <x:v>全球绝对量已与IDC公开表逐项对齐</x:v>
      </x:c>
    </x:row>
    <x:row r="5">
      <x:c r="A5" s="118" t="str">
        <x:v>25Q4</x:v>
      </x:c>
      <x:c r="B5" s="118" t="str">
        <x:v>Apple</x:v>
      </x:c>
      <x:c r="C5" s="119" t="n">
        <x:f>'计算底稿'!C5</x:f>
        <x:v>81.3</x:v>
      </x:c>
      <x:c r="D5" s="119" t="n">
        <x:f>'计算底稿'!D5</x:f>
        <x:v>16.02</x:v>
      </x:c>
      <x:c r="E5" s="119" t="n">
        <x:f>'计算底稿'!E5</x:f>
        <x:v>65.28</x:v>
      </x:c>
      <x:c r="F5" s="120" t="str">
        <x:f>IF(ABS(E5-(C5-D5))&lt;0.000001,"PASS","FAIL")</x:f>
        <x:v>PASS</x:v>
      </x:c>
      <x:c r="G5" s="121" t="n">
        <x:f>'计算底稿'!P5</x:f>
        <x:v>0.049</x:v>
      </x:c>
      <x:c r="H5" s="122" t="str">
        <x:f>'计算底稿'!O5</x:f>
        <x:v>与IDC公开表一致</x:v>
      </x:c>
      <x:c r="I5" s="122" t="str">
        <x:f>'计算底稿'!L5</x:f>
        <x:v>IDC_PRELIM</x:v>
      </x:c>
      <x:c r="J5" s="122" t="str">
        <x:f>'计算底稿'!M5</x:f>
        <x:v>IDC 25Q4初值，2026-01-13</x:v>
      </x:c>
      <x:c r="K5" s="122" t="str">
        <x:f>'计算底稿'!N5</x:f>
        <x:v>https://www.idc.com/resource-center/press-releases/q425mobilephonetop5/</x:v>
      </x:c>
      <x:c r="L5" s="122" t="str">
        <x:v>全球绝对量已与IDC公开表逐项对齐</x:v>
      </x:c>
    </x:row>
    <x:row r="6">
      <x:c r="A6" s="118" t="str">
        <x:v>26Q1</x:v>
      </x:c>
      <x:c r="B6" s="118" t="str">
        <x:v>Apple</x:v>
      </x:c>
      <x:c r="C6" s="119" t="n">
        <x:f>'计算底稿'!C6</x:f>
        <x:v>61.8</x:v>
      </x:c>
      <x:c r="D6" s="119" t="n">
        <x:f>'计算底稿'!D6</x:f>
        <x:v>12.78</x:v>
      </x:c>
      <x:c r="E6" s="119" t="n">
        <x:f>'计算底稿'!E6</x:f>
        <x:v>49.019999999999996</x:v>
      </x:c>
      <x:c r="F6" s="120" t="str">
        <x:f>IF(ABS(E6-(C6-D6))&lt;0.000001,"PASS","FAIL")</x:f>
        <x:v>PASS</x:v>
      </x:c>
      <x:c r="G6" s="121" t="n">
        <x:f>'计算底稿'!P6</x:f>
        <x:v>0.044000000000000004</x:v>
      </x:c>
      <x:c r="H6" s="122" t="str">
        <x:f>'计算底稿'!O6</x:f>
        <x:v>与IDC公开表一致</x:v>
      </x:c>
      <x:c r="I6" s="122" t="str">
        <x:f>'计算底稿'!L6</x:f>
        <x:v>IDC_FINAL</x:v>
      </x:c>
      <x:c r="J6" s="122" t="str">
        <x:f>'计算底稿'!M6</x:f>
        <x:v>IDC 26Q1最终历史数据，2026-05-07</x:v>
      </x:c>
      <x:c r="K6" s="122" t="str">
        <x:f>'计算底稿'!N6</x:f>
        <x:v>https://www.idc.com/promo/smartphone-market-share/market-share/</x:v>
      </x:c>
      <x:c r="L6" s="122" t="str">
        <x:v>全球绝对量已与IDC公开表逐项对齐</x:v>
      </x:c>
    </x:row>
    <x:row r="7">
      <x:c r="A7" s="118" t="str">
        <x:v>26Q2</x:v>
      </x:c>
      <x:c r="B7" s="118" t="str">
        <x:v>Apple</x:v>
      </x:c>
      <x:c r="C7" s="119" t="n">
        <x:f>'计算底稿'!C7</x:f>
        <x:v>55.8</x:v>
      </x:c>
      <x:c r="D7" s="119" t="n">
        <x:f>'计算底稿'!D7</x:f>
        <x:v>11.93</x:v>
      </x:c>
      <x:c r="E7" s="119" t="n">
        <x:f>'计算底稿'!E7</x:f>
        <x:v>43.87</x:v>
      </x:c>
      <x:c r="F7" s="120" t="str">
        <x:f>IF(ABS(E7-(C7-D7))&lt;0.000001,"PASS","FAIL")</x:f>
        <x:v>PASS</x:v>
      </x:c>
      <x:c r="G7" s="121" t="n">
        <x:f>'计算底稿'!P7</x:f>
        <x:v>0.153</x:v>
      </x:c>
      <x:c r="H7" s="122" t="str">
        <x:f>'计算底稿'!O7</x:f>
        <x:v>与IDC公开表一致</x:v>
      </x:c>
      <x:c r="I7" s="122" t="str">
        <x:f>'计算底稿'!L7</x:f>
        <x:v>IDC_PRELIM</x:v>
      </x:c>
      <x:c r="J7" s="122" t="str">
        <x:f>'计算底稿'!M7</x:f>
        <x:v>IDC 26Q2初值，2026-07-13</x:v>
      </x:c>
      <x:c r="K7" s="122" t="str">
        <x:f>'计算底稿'!N7</x:f>
        <x:v>https://www.idc.com/resource-center/press-releases/2q26-mpt-top5/</x:v>
      </x:c>
      <x:c r="L7" s="122" t="str">
        <x:v>全球绝对量已与IDC公开表逐项对齐</x:v>
      </x:c>
    </x:row>
    <x:row r="8">
      <x:c r="A8" s="118" t="str">
        <x:v>25Q1</x:v>
      </x:c>
      <x:c r="B8" s="118" t="str">
        <x:v>Samsung</x:v>
      </x:c>
      <x:c r="C8" s="119" t="n">
        <x:f>'计算底稿'!C8</x:f>
        <x:v>60.6</x:v>
      </x:c>
      <x:c r="D8" s="119" t="n">
        <x:f>'计算底稿'!D8</x:f>
        <x:v>0.5</x:v>
      </x:c>
      <x:c r="E8" s="119" t="n">
        <x:f>'计算底稿'!E8</x:f>
        <x:v>60.1</x:v>
      </x:c>
      <x:c r="F8" s="120" t="str">
        <x:f>IF(ABS(E8-(C8-D8))&lt;0.000001,"PASS","FAIL")</x:f>
        <x:v>PASS</x:v>
      </x:c>
      <x:c r="G8" s="121" t="n">
        <x:f>'计算底稿'!P8</x:f>
        <x:v>0.006644518272425293</x:v>
      </x:c>
      <x:c r="H8" s="122" t="str">
        <x:f>'计算底稿'!O8</x:f>
        <x:v>与IDC公开表一致</x:v>
      </x:c>
      <x:c r="I8" s="122" t="str">
        <x:f>'计算底稿'!L8</x:f>
        <x:v>IDC_REVISED</x:v>
      </x:c>
      <x:c r="J8" s="122" t="str">
        <x:f>'计算底稿'!M8</x:f>
        <x:v>IDC 26Q1最终历史表中回溯重列的25Q1对比值</x:v>
      </x:c>
      <x:c r="K8" s="122" t="str">
        <x:f>'计算底稿'!N8</x:f>
        <x:v>https://www.idc.com/promo/smartphone-market-share/market-share/</x:v>
      </x:c>
      <x:c r="L8" s="122" t="str">
        <x:v>全球绝对量已与IDC公开表逐项对齐</x:v>
      </x:c>
    </x:row>
    <x:row r="9">
      <x:c r="A9" s="118" t="str">
        <x:v>25Q2</x:v>
      </x:c>
      <x:c r="B9" s="118" t="str">
        <x:v>Samsung</x:v>
      </x:c>
      <x:c r="C9" s="119" t="n">
        <x:f>'计算底稿'!C9</x:f>
        <x:v>58</x:v>
      </x:c>
      <x:c r="D9" s="119" t="n">
        <x:f>'计算底稿'!D9</x:f>
        <x:v>0.4</x:v>
      </x:c>
      <x:c r="E9" s="119" t="n">
        <x:f>'计算底稿'!E9</x:f>
        <x:v>57.6</x:v>
      </x:c>
      <x:c r="F9" s="120" t="str">
        <x:f>IF(ABS(E9-(C9-D9))&lt;0.000001,"PASS","FAIL")</x:f>
        <x:v>PASS</x:v>
      </x:c>
      <x:c r="G9" s="121" t="n">
        <x:f>'计算底稿'!P9</x:f>
        <x:v>0.0780669144981414</x:v>
      </x:c>
      <x:c r="H9" s="122" t="str">
        <x:f>'计算底稿'!O9</x:f>
        <x:v>与IDC公开表一致</x:v>
      </x:c>
      <x:c r="I9" s="122" t="str">
        <x:f>'计算底稿'!L9</x:f>
        <x:v>IDC_REVISED</x:v>
      </x:c>
      <x:c r="J9" s="122" t="str">
        <x:f>'计算底稿'!M9</x:f>
        <x:v>IDC 26Q2公开表中回溯重列的25Q2对比值</x:v>
      </x:c>
      <x:c r="K9" s="122" t="str">
        <x:f>'计算底稿'!N9</x:f>
        <x:v>https://www.idc.com/resource-center/press-releases/2q26-mpt-top5/</x:v>
      </x:c>
      <x:c r="L9" s="122" t="str">
        <x:v>全球绝对量已与IDC公开表逐项对齐</x:v>
      </x:c>
    </x:row>
    <x:row r="10">
      <x:c r="A10" s="118" t="str">
        <x:v>25Q3</x:v>
      </x:c>
      <x:c r="B10" s="118" t="str">
        <x:v>Samsung</x:v>
      </x:c>
      <x:c r="C10" s="119" t="n">
        <x:f>'计算底稿'!C10</x:f>
        <x:v>61.4</x:v>
      </x:c>
      <x:c r="D10" s="119" t="n">
        <x:f>'计算底稿'!D10</x:f>
        <x:v>0.4</x:v>
      </x:c>
      <x:c r="E10" s="119" t="n">
        <x:f>'计算底稿'!E10</x:f>
        <x:v>61</x:v>
      </x:c>
      <x:c r="F10" s="120" t="str">
        <x:f>IF(ABS(E10-(C10-D10))&lt;0.000001,"PASS","FAIL")</x:f>
        <x:v>PASS</x:v>
      </x:c>
      <x:c r="G10" s="121" t="n">
        <x:f>'计算底稿'!P10</x:f>
        <x:v>0.063</x:v>
      </x:c>
      <x:c r="H10" s="122" t="str">
        <x:f>'计算底稿'!O10</x:f>
        <x:v>与IDC公开表一致</x:v>
      </x:c>
      <x:c r="I10" s="122" t="str">
        <x:f>'计算底稿'!L10</x:f>
        <x:v>IDC_FINAL</x:v>
      </x:c>
      <x:c r="J10" s="122" t="str">
        <x:f>'计算底稿'!M10</x:f>
        <x:v>IDC 25Q3历史数据，2025-11-06</x:v>
      </x:c>
      <x:c r="K10" s="122" t="str">
        <x:f>'计算底稿'!N10</x:f>
        <x:v>https://www.idc.com/promo/smartphone-market-share/?submit=Search</x:v>
      </x:c>
      <x:c r="L10" s="122" t="str">
        <x:v>全球绝对量已与IDC公开表逐项对齐</x:v>
      </x:c>
    </x:row>
    <x:row r="11">
      <x:c r="A11" s="118" t="str">
        <x:v>25Q4</x:v>
      </x:c>
      <x:c r="B11" s="118" t="str">
        <x:v>Samsung</x:v>
      </x:c>
      <x:c r="C11" s="119" t="n">
        <x:f>'计算底稿'!C11</x:f>
        <x:v>61.2</x:v>
      </x:c>
      <x:c r="D11" s="119" t="n">
        <x:f>'计算底稿'!D11</x:f>
        <x:v>0.4</x:v>
      </x:c>
      <x:c r="E11" s="119" t="n">
        <x:f>'计算底稿'!E11</x:f>
        <x:v>60.800000000000004</x:v>
      </x:c>
      <x:c r="F11" s="120" t="str">
        <x:f>IF(ABS(E11-(C11-D11))&lt;0.000001,"PASS","FAIL")</x:f>
        <x:v>PASS</x:v>
      </x:c>
      <x:c r="G11" s="121" t="n">
        <x:f>'计算底稿'!P11</x:f>
        <x:v>0.183</x:v>
      </x:c>
      <x:c r="H11" s="122" t="str">
        <x:f>'计算底稿'!O11</x:f>
        <x:v>与IDC公开表一致</x:v>
      </x:c>
      <x:c r="I11" s="122" t="str">
        <x:f>'计算底稿'!L11</x:f>
        <x:v>IDC_PRELIM</x:v>
      </x:c>
      <x:c r="J11" s="122" t="str">
        <x:f>'计算底稿'!M11</x:f>
        <x:v>IDC 25Q4初值，2026-01-13</x:v>
      </x:c>
      <x:c r="K11" s="122" t="str">
        <x:f>'计算底稿'!N11</x:f>
        <x:v>https://www.idc.com/resource-center/press-releases/q425mobilephonetop5/</x:v>
      </x:c>
      <x:c r="L11" s="122" t="str">
        <x:v>全球绝对量已与IDC公开表逐项对齐</x:v>
      </x:c>
    </x:row>
    <x:row r="12">
      <x:c r="A12" s="118" t="str">
        <x:v>26Q1</x:v>
      </x:c>
      <x:c r="B12" s="118" t="str">
        <x:v>Samsung</x:v>
      </x:c>
      <x:c r="C12" s="119" t="n">
        <x:f>'计算底稿'!C12</x:f>
        <x:v>62.4</x:v>
      </x:c>
      <x:c r="D12" s="119" t="n">
        <x:f>'计算底稿'!D12</x:f>
        <x:v>0.4</x:v>
      </x:c>
      <x:c r="E12" s="119" t="n">
        <x:f>'计算底稿'!E12</x:f>
        <x:v>62</x:v>
      </x:c>
      <x:c r="F12" s="120" t="str">
        <x:f>IF(ABS(E12-(C12-D12))&lt;0.000001,"PASS","FAIL")</x:f>
        <x:v>PASS</x:v>
      </x:c>
      <x:c r="G12" s="121" t="n">
        <x:f>'计算底稿'!P12</x:f>
        <x:v>0.028999999999999998</x:v>
      </x:c>
      <x:c r="H12" s="122" t="str">
        <x:f>'计算底稿'!O12</x:f>
        <x:v>与IDC公开表一致</x:v>
      </x:c>
      <x:c r="I12" s="122" t="str">
        <x:f>'计算底稿'!L12</x:f>
        <x:v>IDC_FINAL</x:v>
      </x:c>
      <x:c r="J12" s="122" t="str">
        <x:f>'计算底稿'!M12</x:f>
        <x:v>IDC 26Q1最终历史数据，2026-05-07</x:v>
      </x:c>
      <x:c r="K12" s="122" t="str">
        <x:f>'计算底稿'!N12</x:f>
        <x:v>https://www.idc.com/promo/smartphone-market-share/market-share/</x:v>
      </x:c>
      <x:c r="L12" s="122" t="str">
        <x:v>全球绝对量已与IDC公开表逐项对齐</x:v>
      </x:c>
    </x:row>
    <x:row r="13">
      <x:c r="A13" s="118" t="str">
        <x:v>26Q2</x:v>
      </x:c>
      <x:c r="B13" s="118" t="str">
        <x:v>Samsung</x:v>
      </x:c>
      <x:c r="C13" s="119" t="n">
        <x:f>'计算底稿'!C13</x:f>
        <x:v>62.7</x:v>
      </x:c>
      <x:c r="D13" s="119" t="n">
        <x:f>'计算底稿'!D13</x:f>
        <x:v>0.35</x:v>
      </x:c>
      <x:c r="E13" s="119" t="n">
        <x:f>'计算底稿'!E13</x:f>
        <x:v>62.35</x:v>
      </x:c>
      <x:c r="F13" s="120" t="str">
        <x:f>IF(ABS(E13-(C13-D13))&lt;0.000001,"PASS","FAIL")</x:f>
        <x:v>PASS</x:v>
      </x:c>
      <x:c r="G13" s="121" t="n">
        <x:f>'计算底稿'!P13</x:f>
        <x:v>0.081</x:v>
      </x:c>
      <x:c r="H13" s="122" t="str">
        <x:f>'计算底稿'!O13</x:f>
        <x:v>与IDC公开表一致</x:v>
      </x:c>
      <x:c r="I13" s="122" t="str">
        <x:f>'计算底稿'!L13</x:f>
        <x:v>IDC_PRELIM</x:v>
      </x:c>
      <x:c r="J13" s="122" t="str">
        <x:f>'计算底稿'!M13</x:f>
        <x:v>IDC 26Q2初值，2026-07-13</x:v>
      </x:c>
      <x:c r="K13" s="122" t="str">
        <x:f>'计算底稿'!N13</x:f>
        <x:v>https://www.idc.com/resource-center/press-releases/2q26-mpt-top5/</x:v>
      </x:c>
      <x:c r="L13" s="122" t="str">
        <x:v>全球绝对量已与IDC公开表逐项对齐</x:v>
      </x:c>
    </x:row>
    <x:row r="14">
      <x:c r="A14" s="118" t="str">
        <x:v>25Q1</x:v>
      </x:c>
      <x:c r="B14" s="118" t="str">
        <x:v>Xiaomi</x:v>
      </x:c>
      <x:c r="C14" s="119" t="n">
        <x:f>'计算底稿'!C14</x:f>
        <x:v>41.8</x:v>
      </x:c>
      <x:c r="D14" s="119" t="n">
        <x:f>'计算底稿'!D14</x:f>
        <x:v>13.34</x:v>
      </x:c>
      <x:c r="E14" s="119" t="n">
        <x:f>'计算底稿'!E14</x:f>
        <x:v>28.459999999999997</x:v>
      </x:c>
      <x:c r="F14" s="120" t="str">
        <x:f>IF(ABS(E14-(C14-D14))&lt;0.000001,"PASS","FAIL")</x:f>
        <x:v>PASS</x:v>
      </x:c>
      <x:c r="G14" s="121" t="n">
        <x:f>'计算底稿'!P14</x:f>
        <x:v>0.02450980392156854</x:v>
      </x:c>
      <x:c r="H14" s="122" t="str">
        <x:f>'计算底稿'!O14</x:f>
        <x:v>与IDC公开表一致</x:v>
      </x:c>
      <x:c r="I14" s="122" t="str">
        <x:f>'计算底稿'!L14</x:f>
        <x:v>IDC_REVISED</x:v>
      </x:c>
      <x:c r="J14" s="122" t="str">
        <x:f>'计算底稿'!M14</x:f>
        <x:v>IDC 26Q1最终历史表中回溯重列的25Q1对比值</x:v>
      </x:c>
      <x:c r="K14" s="122" t="str">
        <x:f>'计算底稿'!N14</x:f>
        <x:v>https://www.idc.com/promo/smartphone-market-share/market-share/</x:v>
      </x:c>
      <x:c r="L14" s="122" t="str">
        <x:v>全球绝对量已与IDC公开表逐项对齐</x:v>
      </x:c>
    </x:row>
    <x:row r="15">
      <x:c r="A15" s="118" t="str">
        <x:v>25Q2</x:v>
      </x:c>
      <x:c r="B15" s="118" t="str">
        <x:v>Xiaomi</x:v>
      </x:c>
      <x:c r="C15" s="119" t="n">
        <x:f>'计算底稿'!C15</x:f>
        <x:v>42.4</x:v>
      </x:c>
      <x:c r="D15" s="119" t="n">
        <x:f>'计算底稿'!D15</x:f>
        <x:v>10.44</x:v>
      </x:c>
      <x:c r="E15" s="119" t="n">
        <x:f>'计算底稿'!E15</x:f>
        <x:v>31.96</x:v>
      </x:c>
      <x:c r="F15" s="120" t="str">
        <x:f>IF(ABS(E15-(C15-D15))&lt;0.000001,"PASS","FAIL")</x:f>
        <x:v>PASS</x:v>
      </x:c>
      <x:c r="G15" s="121" t="n">
        <x:f>'计算底稿'!P15</x:f>
        <x:v>0.0023640661938535423</x:v>
      </x:c>
      <x:c r="H15" s="122" t="str">
        <x:f>'计算底稿'!O15</x:f>
        <x:v>与IDC公开表一致</x:v>
      </x:c>
      <x:c r="I15" s="122" t="str">
        <x:f>'计算底稿'!L15</x:f>
        <x:v>IDC_REVISED</x:v>
      </x:c>
      <x:c r="J15" s="122" t="str">
        <x:f>'计算底稿'!M15</x:f>
        <x:v>IDC 26Q2公开表中回溯重列的25Q2对比值</x:v>
      </x:c>
      <x:c r="K15" s="122" t="str">
        <x:f>'计算底稿'!N15</x:f>
        <x:v>https://www.idc.com/resource-center/press-releases/2q26-mpt-top5/</x:v>
      </x:c>
      <x:c r="L15" s="122" t="str">
        <x:v>全球绝对量已与IDC公开表逐项对齐</x:v>
      </x:c>
    </x:row>
    <x:row r="16">
      <x:c r="A16" s="118" t="str">
        <x:v>25Q3</x:v>
      </x:c>
      <x:c r="B16" s="118" t="str">
        <x:v>Xiaomi</x:v>
      </x:c>
      <x:c r="C16" s="119" t="n">
        <x:f>'计算底稿'!C16</x:f>
        <x:v>43.4</x:v>
      </x:c>
      <x:c r="D16" s="119" t="n">
        <x:f>'计算底稿'!D16</x:f>
        <x:v>10.05</x:v>
      </x:c>
      <x:c r="E16" s="119" t="n">
        <x:f>'计算底稿'!E16</x:f>
        <x:v>33.349999999999994</x:v>
      </x:c>
      <x:c r="F16" s="120" t="str">
        <x:f>IF(ABS(E16-(C16-D16))&lt;0.000001,"PASS","FAIL")</x:f>
        <x:v>PASS</x:v>
      </x:c>
      <x:c r="G16" s="121" t="n">
        <x:f>'计算底稿'!P16</x:f>
        <x:v>0.013999999999999999</x:v>
      </x:c>
      <x:c r="H16" s="122" t="str">
        <x:f>'计算底稿'!O16</x:f>
        <x:v>与IDC公开表一致</x:v>
      </x:c>
      <x:c r="I16" s="122" t="str">
        <x:f>'计算底稿'!L16</x:f>
        <x:v>IDC_FINAL</x:v>
      </x:c>
      <x:c r="J16" s="122" t="str">
        <x:f>'计算底稿'!M16</x:f>
        <x:v>IDC 25Q3历史数据，2025-11-06</x:v>
      </x:c>
      <x:c r="K16" s="122" t="str">
        <x:f>'计算底稿'!N16</x:f>
        <x:v>https://www.idc.com/promo/smartphone-market-share/?submit=Search</x:v>
      </x:c>
      <x:c r="L16" s="122" t="str">
        <x:v>全球绝对量已与IDC公开表逐项对齐</x:v>
      </x:c>
    </x:row>
    <x:row r="17">
      <x:c r="A17" s="118" t="str">
        <x:v>25Q4</x:v>
      </x:c>
      <x:c r="B17" s="118" t="str">
        <x:v>Xiaomi</x:v>
      </x:c>
      <x:c r="C17" s="119" t="n">
        <x:f>'计算底稿'!C17</x:f>
        <x:v>37.8</x:v>
      </x:c>
      <x:c r="D17" s="119" t="n">
        <x:f>'计算底稿'!D17</x:f>
        <x:v>10.02</x:v>
      </x:c>
      <x:c r="E17" s="119" t="n">
        <x:f>'计算底稿'!E17</x:f>
        <x:v>27.779999999999998</x:v>
      </x:c>
      <x:c r="F17" s="120" t="str">
        <x:f>IF(ABS(E17-(C17-D17))&lt;0.000001,"PASS","FAIL")</x:f>
        <x:v>PASS</x:v>
      </x:c>
      <x:c r="G17" s="121" t="n">
        <x:f>'计算底稿'!P17</x:f>
        <x:v>-0.114</x:v>
      </x:c>
      <x:c r="H17" s="122" t="str">
        <x:f>'计算底稿'!O17</x:f>
        <x:v>与IDC公开表一致</x:v>
      </x:c>
      <x:c r="I17" s="122" t="str">
        <x:f>'计算底稿'!L17</x:f>
        <x:v>IDC_PRELIM</x:v>
      </x:c>
      <x:c r="J17" s="122" t="str">
        <x:f>'计算底稿'!M17</x:f>
        <x:v>IDC 25Q4初值，2026-01-13</x:v>
      </x:c>
      <x:c r="K17" s="122" t="str">
        <x:f>'计算底稿'!N17</x:f>
        <x:v>https://www.idc.com/resource-center/press-releases/q425mobilephonetop5/</x:v>
      </x:c>
      <x:c r="L17" s="122" t="str">
        <x:v>全球绝对量已与IDC公开表逐项对齐</x:v>
      </x:c>
    </x:row>
    <x:row r="18">
      <x:c r="A18" s="118" t="str">
        <x:v>26Q1</x:v>
      </x:c>
      <x:c r="B18" s="118" t="str">
        <x:v>Xiaomi</x:v>
      </x:c>
      <x:c r="C18" s="119" t="n">
        <x:f>'计算底稿'!C18</x:f>
        <x:v>33.8</x:v>
      </x:c>
      <x:c r="D18" s="119" t="n">
        <x:f>'计算底稿'!D18</x:f>
        <x:v>8.6</x:v>
      </x:c>
      <x:c r="E18" s="119" t="n">
        <x:f>'计算底稿'!E18</x:f>
        <x:v>25.199999999999996</x:v>
      </x:c>
      <x:c r="F18" s="120" t="str">
        <x:f>IF(ABS(E18-(C18-D18))&lt;0.000001,"PASS","FAIL")</x:f>
        <x:v>PASS</x:v>
      </x:c>
      <x:c r="G18" s="121" t="n">
        <x:f>'计算底稿'!P18</x:f>
        <x:v>-0.191</x:v>
      </x:c>
      <x:c r="H18" s="122" t="str">
        <x:f>'计算底稿'!O18</x:f>
        <x:v>与IDC公开表一致</x:v>
      </x:c>
      <x:c r="I18" s="122" t="str">
        <x:f>'计算底稿'!L18</x:f>
        <x:v>IDC_FINAL</x:v>
      </x:c>
      <x:c r="J18" s="122" t="str">
        <x:f>'计算底稿'!M18</x:f>
        <x:v>IDC 26Q1最终历史数据，2026-05-07</x:v>
      </x:c>
      <x:c r="K18" s="122" t="str">
        <x:f>'计算底稿'!N18</x:f>
        <x:v>https://www.idc.com/promo/smartphone-market-share/market-share/</x:v>
      </x:c>
      <x:c r="L18" s="122" t="str">
        <x:v>全球绝对量已与IDC公开表逐项对齐</x:v>
      </x:c>
    </x:row>
    <x:row r="19">
      <x:c r="A19" s="118" t="str">
        <x:v>26Q2</x:v>
      </x:c>
      <x:c r="B19" s="118" t="str">
        <x:v>Xiaomi</x:v>
      </x:c>
      <x:c r="C19" s="119" t="n">
        <x:f>'计算底稿'!C19</x:f>
        <x:v>31.2</x:v>
      </x:c>
      <x:c r="D19" s="119" t="n">
        <x:f>'计算底稿'!D19</x:f>
        <x:v>8.18</x:v>
      </x:c>
      <x:c r="E19" s="119" t="n">
        <x:f>'计算底稿'!E19</x:f>
        <x:v>23.02</x:v>
      </x:c>
      <x:c r="F19" s="120" t="str">
        <x:f>IF(ABS(E19-(C19-D19))&lt;0.000001,"PASS","FAIL")</x:f>
        <x:v>PASS</x:v>
      </x:c>
      <x:c r="G19" s="121" t="n">
        <x:f>'计算底稿'!P19</x:f>
        <x:v>-0.263</x:v>
      </x:c>
      <x:c r="H19" s="122" t="str">
        <x:f>'计算底稿'!O19</x:f>
        <x:v>与IDC公开表一致</x:v>
      </x:c>
      <x:c r="I19" s="122" t="str">
        <x:f>'计算底稿'!L19</x:f>
        <x:v>IDC_PRELIM</x:v>
      </x:c>
      <x:c r="J19" s="122" t="str">
        <x:f>'计算底稿'!M19</x:f>
        <x:v>IDC 26Q2初值，2026-07-13</x:v>
      </x:c>
      <x:c r="K19" s="122" t="str">
        <x:f>'计算底稿'!N19</x:f>
        <x:v>https://www.idc.com/resource-center/press-releases/2q26-mpt-top5/</x:v>
      </x:c>
      <x:c r="L19" s="122" t="str">
        <x:v>全球绝对量已与IDC公开表逐项对齐</x:v>
      </x:c>
    </x:row>
    <x:row r="20">
      <x:c r="A20" s="118" t="str">
        <x:v>25Q1</x:v>
      </x:c>
      <x:c r="B20" s="118" t="str">
        <x:v>Honor</x:v>
      </x:c>
      <x:c r="C20" s="119" t="n">
        <x:f>'计算底稿'!C20</x:f>
        <x:v>16.2</x:v>
      </x:c>
      <x:c r="D20" s="119" t="n">
        <x:f>'计算底稿'!D20</x:f>
        <x:v>9.04</x:v>
      </x:c>
      <x:c r="E20" s="119" t="n">
        <x:f>'计算底稿'!E20</x:f>
        <x:v>7.16</x:v>
      </x:c>
      <x:c r="F20" s="120" t="str">
        <x:f>IF(ABS(E20-(C20-D20))&lt;0.000001,"PASS","FAIL")</x:f>
        <x:v>PASS</x:v>
      </x:c>
      <x:c r="G20" s="121" t="n">
        <x:f>'计算底稿'!P20</x:f>
        <x:v>0.15714285714285703</x:v>
      </x:c>
      <x:c r="H20" s="122" t="str">
        <x:f>'计算底稿'!O20</x:f>
        <x:v>公开信息估算，非IDC直接披露</x:v>
      </x:c>
      <x:c r="I20" s="122" t="str">
        <x:f>'计算底稿'!L20</x:f>
        <x:v>ESTIMATE</x:v>
      </x:c>
      <x:c r="J20" s="122" t="str">
        <x:f>'计算底稿'!M20</x:f>
        <x:v>IDC 26Q1最终历史表中回溯重列的25Q1对比值</x:v>
      </x:c>
      <x:c r="K20" s="122" t="str">
        <x:f>'计算底稿'!N20</x:f>
        <x:v>https://www.idc.com/promo/smartphone-market-share/market-share/</x:v>
      </x:c>
      <x:c r="L20" s="122" t="str">
        <x:v>不在当期IDC公开Top 5绝对量表内，不声称为IDC直接值</x:v>
      </x:c>
    </x:row>
    <x:row r="21">
      <x:c r="A21" s="118" t="str">
        <x:v>25Q2</x:v>
      </x:c>
      <x:c r="B21" s="118" t="str">
        <x:v>Honor</x:v>
      </x:c>
      <x:c r="C21" s="119" t="n">
        <x:f>'计算底稿'!C21</x:f>
        <x:v>17</x:v>
      </x:c>
      <x:c r="D21" s="119" t="n">
        <x:f>'计算底稿'!D21</x:f>
        <x:v>8.21</x:v>
      </x:c>
      <x:c r="E21" s="119" t="n">
        <x:f>'计算底稿'!E21</x:f>
        <x:v>8.79</x:v>
      </x:c>
      <x:c r="F21" s="120" t="str">
        <x:f>IF(ABS(E21-(C21-D21))&lt;0.000001,"PASS","FAIL")</x:f>
        <x:v>PASS</x:v>
      </x:c>
      <x:c r="G21" s="121" t="n">
        <x:f>'计算底稿'!P21</x:f>
        <x:v>0.2592592592592593</x:v>
      </x:c>
      <x:c r="H21" s="122" t="str">
        <x:f>'计算底稿'!O21</x:f>
        <x:v>公开信息估算，非IDC直接披露</x:v>
      </x:c>
      <x:c r="I21" s="122" t="str">
        <x:f>'计算底稿'!L21</x:f>
        <x:v>ESTIMATE</x:v>
      </x:c>
      <x:c r="J21" s="122" t="str">
        <x:f>'计算底稿'!M21</x:f>
        <x:v>IDC 26Q2公开表中回溯重列的25Q2对比值</x:v>
      </x:c>
      <x:c r="K21" s="122" t="str">
        <x:f>'计算底稿'!N21</x:f>
        <x:v>https://www.idc.com/resource-center/press-releases/2q26-mpt-top5/</x:v>
      </x:c>
      <x:c r="L21" s="122" t="str">
        <x:v>不在当期IDC公开Top 5绝对量表内，不声称为IDC直接值</x:v>
      </x:c>
    </x:row>
    <x:row r="22">
      <x:c r="A22" s="118" t="str">
        <x:v>25Q3</x:v>
      </x:c>
      <x:c r="B22" s="118" t="str">
        <x:v>Honor</x:v>
      </x:c>
      <x:c r="C22" s="119" t="n">
        <x:f>'计算底稿'!C22</x:f>
        <x:v>17.5</x:v>
      </x:c>
      <x:c r="D22" s="119" t="n">
        <x:f>'计算底稿'!D22</x:f>
        <x:v>9.89</x:v>
      </x:c>
      <x:c r="E22" s="119" t="n">
        <x:f>'计算底稿'!E22</x:f>
        <x:v>7.609999999999999</x:v>
      </x:c>
      <x:c r="F22" s="120" t="str">
        <x:f>IF(ABS(E22-(C22-D22))&lt;0.000001,"PASS","FAIL")</x:f>
        <x:v>PASS</x:v>
      </x:c>
      <x:c r="G22" s="121" t="n">
        <x:f>'计算底稿'!P22</x:f>
        <x:v>0.34615384615384626</x:v>
      </x:c>
      <x:c r="H22" s="122" t="str">
        <x:f>'计算底稿'!O22</x:f>
        <x:v>公开信息估算，非IDC直接披露</x:v>
      </x:c>
      <x:c r="I22" s="122" t="str">
        <x:f>'计算底稿'!L22</x:f>
        <x:v>ESTIMATE</x:v>
      </x:c>
      <x:c r="J22" s="122" t="str">
        <x:f>'计算底稿'!M22</x:f>
        <x:v>IDC 25Q3历史数据，2025-11-06</x:v>
      </x:c>
      <x:c r="K22" s="122" t="str">
        <x:f>'计算底稿'!N22</x:f>
        <x:v>https://www.idc.com/promo/smartphone-market-share/?submit=Search</x:v>
      </x:c>
      <x:c r="L22" s="122" t="str">
        <x:v>不在当期IDC公开Top 5绝对量表内，不声称为IDC直接值</x:v>
      </x:c>
    </x:row>
    <x:row r="23">
      <x:c r="A23" s="118" t="str">
        <x:v>25Q4</x:v>
      </x:c>
      <x:c r="B23" s="118" t="str">
        <x:v>Honor</x:v>
      </x:c>
      <x:c r="C23" s="119" t="n">
        <x:f>'计算底稿'!C23</x:f>
        <x:v>17</x:v>
      </x:c>
      <x:c r="D23" s="119" t="n">
        <x:f>'计算底稿'!D23</x:f>
        <x:v>9.88</x:v>
      </x:c>
      <x:c r="E23" s="119" t="n">
        <x:f>'计算底稿'!E23</x:f>
        <x:v>7.119999999999999</x:v>
      </x:c>
      <x:c r="F23" s="120" t="str">
        <x:f>IF(ABS(E23-(C23-D23))&lt;0.000001,"PASS","FAIL")</x:f>
        <x:v>PASS</x:v>
      </x:c>
      <x:c r="G23" s="121" t="n">
        <x:f>'计算底稿'!P23</x:f>
        <x:v>0.2592592592592593</x:v>
      </x:c>
      <x:c r="H23" s="122" t="str">
        <x:f>'计算底稿'!O23</x:f>
        <x:v>公开信息估算，非IDC直接披露</x:v>
      </x:c>
      <x:c r="I23" s="122" t="str">
        <x:f>'计算底稿'!L23</x:f>
        <x:v>ESTIMATE</x:v>
      </x:c>
      <x:c r="J23" s="122" t="str">
        <x:f>'计算底稿'!M23</x:f>
        <x:v>IDC 25Q4初值，2026-01-13</x:v>
      </x:c>
      <x:c r="K23" s="122" t="str">
        <x:f>'计算底稿'!N23</x:f>
        <x:v>https://www.idc.com/resource-center/press-releases/q425mobilephonetop5/</x:v>
      </x:c>
      <x:c r="L23" s="122" t="str">
        <x:v>不在当期IDC公开Top 5绝对量表内，不声称为IDC直接值</x:v>
      </x:c>
    </x:row>
    <x:row r="24">
      <x:c r="A24" s="118" t="str">
        <x:v>26Q1</x:v>
      </x:c>
      <x:c r="B24" s="118" t="str">
        <x:v>Honor</x:v>
      </x:c>
      <x:c r="C24" s="119" t="n">
        <x:f>'计算底稿'!C24</x:f>
        <x:v>20.2</x:v>
      </x:c>
      <x:c r="D24" s="119" t="n">
        <x:f>'计算底稿'!D24</x:f>
        <x:v>8.86</x:v>
      </x:c>
      <x:c r="E24" s="119" t="n">
        <x:f>'计算底稿'!E24</x:f>
        <x:v>11.34</x:v>
      </x:c>
      <x:c r="F24" s="120" t="str">
        <x:f>IF(ABS(E24-(C24-D24))&lt;0.000001,"PASS","FAIL")</x:f>
        <x:v>PASS</x:v>
      </x:c>
      <x:c r="G24" s="121" t="n">
        <x:f>'计算底稿'!P24</x:f>
        <x:v>0.24691358024691357</x:v>
      </x:c>
      <x:c r="H24" s="122" t="str">
        <x:f>'计算底稿'!O24</x:f>
        <x:v>IDC官方同比反推，非直接绝对量</x:v>
      </x:c>
      <x:c r="I24" s="122" t="str">
        <x:f>'计算底稿'!L24</x:f>
        <x:v>IDC_YOY_DERIVED</x:v>
      </x:c>
      <x:c r="J24" s="122" t="str">
        <x:f>'计算底稿'!M24</x:f>
        <x:v>IDC 26Q1最终历史数据，2026-05-07</x:v>
      </x:c>
      <x:c r="K24" s="122" t="str">
        <x:f>'计算底稿'!N24</x:f>
        <x:v>https://www.idc.com/promo/smartphone-market-share/market-share/</x:v>
      </x:c>
      <x:c r="L24" s="122" t="str">
        <x:v>不在当期IDC公开Top 5绝对量表内，不声称为IDC直接值</x:v>
      </x:c>
    </x:row>
    <x:row r="25">
      <x:c r="A25" s="118" t="str">
        <x:v>26Q2</x:v>
      </x:c>
      <x:c r="B25" s="118" t="str">
        <x:v>Honor</x:v>
      </x:c>
      <x:c r="C25" s="119" t="n">
        <x:f>'计算底稿'!C25</x:f>
        <x:v>19.5</x:v>
      </x:c>
      <x:c r="D25" s="119" t="n">
        <x:f>'计算底稿'!D25</x:f>
        <x:v>7.43</x:v>
      </x:c>
      <x:c r="E25" s="119" t="n">
        <x:f>'计算底稿'!E25</x:f>
        <x:v>12.07</x:v>
      </x:c>
      <x:c r="F25" s="120" t="str">
        <x:f>IF(ABS(E25-(C25-D25))&lt;0.000001,"PASS","FAIL")</x:f>
        <x:v>PASS</x:v>
      </x:c>
      <x:c r="G25" s="121" t="n">
        <x:f>'计算底稿'!P25</x:f>
        <x:v>0.1470588235294117</x:v>
      </x:c>
      <x:c r="H25" s="122" t="str">
        <x:f>'计算底稿'!O25</x:f>
        <x:v>公开信息估算，非IDC直接披露</x:v>
      </x:c>
      <x:c r="I25" s="122" t="str">
        <x:f>'计算底稿'!L25</x:f>
        <x:v>ESTIMATE</x:v>
      </x:c>
      <x:c r="J25" s="122" t="str">
        <x:f>'计算底稿'!M25</x:f>
        <x:v>IDC 26Q2初值，2026-07-13</x:v>
      </x:c>
      <x:c r="K25" s="122" t="str">
        <x:f>'计算底稿'!N25</x:f>
        <x:v>https://www.idc.com/resource-center/press-releases/2q26-mpt-top5/</x:v>
      </x:c>
      <x:c r="L25" s="122" t="str">
        <x:v>不在当期IDC公开Top 5绝对量表内，不声称为IDC直接值</x:v>
      </x:c>
    </x:row>
    <x:row r="26">
      <x:c r="A26" s="118" t="str">
        <x:v>25Q1</x:v>
      </x:c>
      <x:c r="B26" s="118" t="str">
        <x:v>vivo</x:v>
      </x:c>
      <x:c r="C26" s="119" t="n">
        <x:f>'计算底稿'!C26</x:f>
        <x:v>22.7</x:v>
      </x:c>
      <x:c r="D26" s="119" t="n">
        <x:f>'计算底稿'!D26</x:f>
        <x:v>10.34</x:v>
      </x:c>
      <x:c r="E26" s="119" t="n">
        <x:f>'计算底稿'!E26</x:f>
        <x:v>12.36</x:v>
      </x:c>
      <x:c r="F26" s="120" t="str">
        <x:f>IF(ABS(E26-(C26-D26))&lt;0.000001,"PASS","FAIL")</x:f>
        <x:v>PASS</x:v>
      </x:c>
      <x:c r="G26" s="121" t="n">
        <x:f>'计算底稿'!P26</x:f>
        <x:v>0.06572769953051627</x:v>
      </x:c>
      <x:c r="H26" s="122" t="str">
        <x:f>'计算底稿'!O26</x:f>
        <x:v>与IDC公开表一致</x:v>
      </x:c>
      <x:c r="I26" s="122" t="str">
        <x:f>'计算底稿'!L26</x:f>
        <x:v>IDC_REVISED</x:v>
      </x:c>
      <x:c r="J26" s="122" t="str">
        <x:f>'计算底稿'!M26</x:f>
        <x:v>IDC 26Q1最终历史表中回溯重列的25Q1对比值</x:v>
      </x:c>
      <x:c r="K26" s="122" t="str">
        <x:f>'计算底稿'!N26</x:f>
        <x:v>https://www.idc.com/promo/smartphone-market-share/market-share/</x:v>
      </x:c>
      <x:c r="L26" s="122" t="str">
        <x:v>全球绝对量已与IDC公开表逐项对齐</x:v>
      </x:c>
    </x:row>
    <x:row r="27">
      <x:c r="A27" s="118" t="str">
        <x:v>25Q2</x:v>
      </x:c>
      <x:c r="B27" s="118" t="str">
        <x:v>vivo</x:v>
      </x:c>
      <x:c r="C27" s="119" t="n">
        <x:f>'计算底稿'!C27</x:f>
        <x:v>26.3</x:v>
      </x:c>
      <x:c r="D27" s="119" t="n">
        <x:f>'计算底稿'!D27</x:f>
        <x:v>11.92</x:v>
      </x:c>
      <x:c r="E27" s="119" t="n">
        <x:f>'计算底稿'!E27</x:f>
        <x:v>14.38</x:v>
      </x:c>
      <x:c r="F27" s="120" t="str">
        <x:f>IF(ABS(E27-(C27-D27))&lt;0.000001,"PASS","FAIL")</x:f>
        <x:v>PASS</x:v>
      </x:c>
      <x:c r="G27" s="121" t="n">
        <x:f>'计算底稿'!P27</x:f>
        <x:v>0.015444015444015635</x:v>
      </x:c>
      <x:c r="H27" s="122" t="str">
        <x:f>'计算底稿'!O27</x:f>
        <x:v>与IDC公开表一致</x:v>
      </x:c>
      <x:c r="I27" s="122" t="str">
        <x:f>'计算底稿'!L27</x:f>
        <x:v>IDC_REVISED</x:v>
      </x:c>
      <x:c r="J27" s="122" t="str">
        <x:f>'计算底稿'!M27</x:f>
        <x:v>IDC 26Q2公开表中回溯重列的25Q2对比值</x:v>
      </x:c>
      <x:c r="K27" s="122" t="str">
        <x:f>'计算底稿'!N27</x:f>
        <x:v>https://www.idc.com/resource-center/press-releases/2q26-mpt-top5/</x:v>
      </x:c>
      <x:c r="L27" s="122" t="str">
        <x:v>全球绝对量已与IDC公开表逐项对齐</x:v>
      </x:c>
    </x:row>
    <x:row r="28">
      <x:c r="A28" s="118" t="str">
        <x:v>25Q3</x:v>
      </x:c>
      <x:c r="B28" s="118" t="str">
        <x:v>vivo</x:v>
      </x:c>
      <x:c r="C28" s="119" t="n">
        <x:f>'计算底稿'!C28</x:f>
        <x:v>27.9</x:v>
      </x:c>
      <x:c r="D28" s="119" t="n">
        <x:f>'计算底稿'!D28</x:f>
        <x:v>11.81</x:v>
      </x:c>
      <x:c r="E28" s="119" t="n">
        <x:f>'计算底稿'!E28</x:f>
        <x:v>16.089999999999996</x:v>
      </x:c>
      <x:c r="F28" s="120" t="str">
        <x:f>IF(ABS(E28-(C28-D28))&lt;0.000001,"PASS","FAIL")</x:f>
        <x:v>PASS</x:v>
      </x:c>
      <x:c r="G28" s="121" t="n">
        <x:f>'计算底稿'!P28</x:f>
        <x:v>0.034</x:v>
      </x:c>
      <x:c r="H28" s="122" t="str">
        <x:f>'计算底稿'!O28</x:f>
        <x:v>与IDC公开表一致</x:v>
      </x:c>
      <x:c r="I28" s="122" t="str">
        <x:f>'计算底稿'!L28</x:f>
        <x:v>IDC_FINAL</x:v>
      </x:c>
      <x:c r="J28" s="122" t="str">
        <x:f>'计算底稿'!M28</x:f>
        <x:v>IDC 25Q3历史数据，2025-11-06</x:v>
      </x:c>
      <x:c r="K28" s="122" t="str">
        <x:f>'计算底稿'!N28</x:f>
        <x:v>https://www.idc.com/promo/smartphone-market-share/?submit=Search</x:v>
      </x:c>
      <x:c r="L28" s="122" t="str">
        <x:v>全球绝对量已与IDC公开表逐项对齐</x:v>
      </x:c>
    </x:row>
    <x:row r="29">
      <x:c r="A29" s="118" t="str">
        <x:v>25Q4</x:v>
      </x:c>
      <x:c r="B29" s="118" t="str">
        <x:v>vivo</x:v>
      </x:c>
      <x:c r="C29" s="119" t="n">
        <x:f>'计算底稿'!C29</x:f>
        <x:v>27</x:v>
      </x:c>
      <x:c r="D29" s="119" t="n">
        <x:f>'计算底稿'!D29</x:f>
        <x:v>12.03</x:v>
      </x:c>
      <x:c r="E29" s="119" t="n">
        <x:f>'计算底稿'!E29</x:f>
        <x:v>14.97</x:v>
      </x:c>
      <x:c r="F29" s="120" t="str">
        <x:f>IF(ABS(E29-(C29-D29))&lt;0.000001,"PASS","FAIL")</x:f>
        <x:v>PASS</x:v>
      </x:c>
      <x:c r="G29" s="121" t="n">
        <x:f>'计算底稿'!P29</x:f>
        <x:v>-0.004</x:v>
      </x:c>
      <x:c r="H29" s="122" t="str">
        <x:f>'计算底稿'!O29</x:f>
        <x:v>与IDC公开表一致</x:v>
      </x:c>
      <x:c r="I29" s="122" t="str">
        <x:f>'计算底稿'!L29</x:f>
        <x:v>IDC_PRELIM</x:v>
      </x:c>
      <x:c r="J29" s="122" t="str">
        <x:f>'计算底稿'!M29</x:f>
        <x:v>IDC 25Q4初值，2026-01-13</x:v>
      </x:c>
      <x:c r="K29" s="122" t="str">
        <x:f>'计算底稿'!N29</x:f>
        <x:v>https://www.idc.com/resource-center/press-releases/q425mobilephonetop5/</x:v>
      </x:c>
      <x:c r="L29" s="122" t="str">
        <x:v>全球绝对量已与IDC公开表逐项对齐</x:v>
      </x:c>
    </x:row>
    <x:row r="30">
      <x:c r="A30" s="118" t="str">
        <x:v>26Q1</x:v>
      </x:c>
      <x:c r="B30" s="118" t="str">
        <x:v>vivo</x:v>
      </x:c>
      <x:c r="C30" s="119" t="n">
        <x:f>'计算底稿'!C30</x:f>
        <x:v>21.2</x:v>
      </x:c>
      <x:c r="D30" s="119" t="n">
        <x:f>'计算底稿'!D30</x:f>
        <x:v>10.46</x:v>
      </x:c>
      <x:c r="E30" s="119" t="n">
        <x:f>'计算底稿'!E30</x:f>
        <x:v>10.739999999999998</x:v>
      </x:c>
      <x:c r="F30" s="120" t="str">
        <x:f>IF(ABS(E30-(C30-D30))&lt;0.000001,"PASS","FAIL")</x:f>
        <x:v>PASS</x:v>
      </x:c>
      <x:c r="G30" s="121" t="n">
        <x:f>'计算底稿'!P30</x:f>
        <x:v>-0.069</x:v>
      </x:c>
      <x:c r="H30" s="122" t="str">
        <x:f>'计算底稿'!O30</x:f>
        <x:v>与IDC公开表一致</x:v>
      </x:c>
      <x:c r="I30" s="122" t="str">
        <x:f>'计算底稿'!L30</x:f>
        <x:v>IDC_FINAL</x:v>
      </x:c>
      <x:c r="J30" s="122" t="str">
        <x:f>'计算底稿'!M30</x:f>
        <x:v>IDC 26Q1最终历史数据，2026-05-07</x:v>
      </x:c>
      <x:c r="K30" s="122" t="str">
        <x:f>'计算底稿'!N30</x:f>
        <x:v>https://www.idc.com/promo/smartphone-market-share/market-share/</x:v>
      </x:c>
      <x:c r="L30" s="122" t="str">
        <x:v>全球绝对量已与IDC公开表逐项对齐</x:v>
      </x:c>
    </x:row>
    <x:row r="31">
      <x:c r="A31" s="118" t="str">
        <x:v>26Q2</x:v>
      </x:c>
      <x:c r="B31" s="118" t="str">
        <x:v>vivo</x:v>
      </x:c>
      <x:c r="C31" s="119" t="n">
        <x:f>'计算底稿'!C31</x:f>
        <x:v>21.2</x:v>
      </x:c>
      <x:c r="D31" s="119" t="n">
        <x:f>'计算底稿'!D31</x:f>
        <x:v>10.57</x:v>
      </x:c>
      <x:c r="E31" s="119" t="n">
        <x:f>'计算底稿'!E31</x:f>
        <x:v>10.629999999999999</x:v>
      </x:c>
      <x:c r="F31" s="120" t="str">
        <x:f>IF(ABS(E31-(C31-D31))&lt;0.000001,"PASS","FAIL")</x:f>
        <x:v>PASS</x:v>
      </x:c>
      <x:c r="G31" s="121" t="n">
        <x:f>'计算底稿'!P31</x:f>
        <x:v>-0.19399999999999998</x:v>
      </x:c>
      <x:c r="H31" s="122" t="str">
        <x:f>'计算底稿'!O31</x:f>
        <x:v>与IDC公开表一致</x:v>
      </x:c>
      <x:c r="I31" s="122" t="str">
        <x:f>'计算底稿'!L31</x:f>
        <x:v>IDC_PRELIM</x:v>
      </x:c>
      <x:c r="J31" s="122" t="str">
        <x:f>'计算底稿'!M31</x:f>
        <x:v>IDC 26Q2初值，2026-07-13</x:v>
      </x:c>
      <x:c r="K31" s="122" t="str">
        <x:f>'计算底稿'!N31</x:f>
        <x:v>https://www.idc.com/resource-center/press-releases/2q26-mpt-top5/</x:v>
      </x:c>
      <x:c r="L31" s="122" t="str">
        <x:v>全球绝对量已与IDC公开表逐项对齐</x:v>
      </x:c>
    </x:row>
    <x:row r="32">
      <x:c r="A32" s="118" t="str">
        <x:v>25Q1</x:v>
      </x:c>
      <x:c r="B32" s="118" t="str">
        <x:v>OPPO</x:v>
      </x:c>
      <x:c r="C32" s="119" t="n">
        <x:f>'计算底稿'!C32</x:f>
        <x:v>34.1</x:v>
      </x:c>
      <x:c r="D32" s="119" t="n">
        <x:f>'计算底稿'!D32</x:f>
        <x:v>11.99</x:v>
      </x:c>
      <x:c r="E32" s="119" t="n">
        <x:f>'计算底稿'!E32</x:f>
        <x:v>22.11</x:v>
      </x:c>
      <x:c r="F32" s="120" t="str">
        <x:f>IF(ABS(E32-(C32-D32))&lt;0.000001,"PASS","FAIL")</x:f>
        <x:v>PASS</x:v>
      </x:c>
      <x:c r="G32" s="121" t="n">
        <x:f>'计算底稿'!P32</x:f>
        <x:v>0.35317460317460325</x:v>
      </x:c>
      <x:c r="H32" s="122" t="str">
        <x:f>'计算底稿'!O32</x:f>
        <x:v>与IDC公开表一致</x:v>
      </x:c>
      <x:c r="I32" s="122" t="str">
        <x:f>'计算底稿'!L32</x:f>
        <x:v>IDC_REVISED</x:v>
      </x:c>
      <x:c r="J32" s="122" t="str">
        <x:f>'计算底稿'!M32</x:f>
        <x:v>IDC 26Q1最终历史表中回溯重列的25Q1对比值</x:v>
      </x:c>
      <x:c r="K32" s="122" t="str">
        <x:f>'计算底稿'!N32</x:f>
        <x:v>https://www.idc.com/promo/smartphone-market-share/market-share/</x:v>
      </x:c>
      <x:c r="L32" s="122" t="str">
        <x:v>全球绝对量已与IDC公开表逐项对齐</x:v>
      </x:c>
    </x:row>
    <x:row r="33">
      <x:c r="A33" s="118" t="str">
        <x:v>25Q2</x:v>
      </x:c>
      <x:c r="B33" s="118" t="str">
        <x:v>OPPO</x:v>
      </x:c>
      <x:c r="C33" s="119" t="n">
        <x:f>'计算底稿'!C33</x:f>
        <x:v>34.9</x:v>
      </x:c>
      <x:c r="D33" s="119" t="n">
        <x:f>'计算底稿'!D33</x:f>
        <x:v>11.73</x:v>
      </x:c>
      <x:c r="E33" s="119" t="n">
        <x:f>'计算底稿'!E33</x:f>
        <x:v>23.169999999999998</x:v>
      </x:c>
      <x:c r="F33" s="120" t="str">
        <x:f>IF(ABS(E33-(C33-D33))&lt;0.000001,"PASS","FAIL")</x:f>
        <x:v>PASS</x:v>
      </x:c>
      <x:c r="G33" s="121" t="n">
        <x:f>'计算底稿'!P33</x:f>
        <x:v>0.23758865248226946</x:v>
      </x:c>
      <x:c r="H33" s="122" t="str">
        <x:f>'计算底稿'!O33</x:f>
        <x:v>与IDC公开表一致</x:v>
      </x:c>
      <x:c r="I33" s="122" t="str">
        <x:f>'计算底稿'!L33</x:f>
        <x:v>IDC_REVISED</x:v>
      </x:c>
      <x:c r="J33" s="122" t="str">
        <x:f>'计算底稿'!M33</x:f>
        <x:v>IDC 26Q2公开表中回溯重列的25Q2对比值</x:v>
      </x:c>
      <x:c r="K33" s="122" t="str">
        <x:f>'计算底稿'!N33</x:f>
        <x:v>https://www.idc.com/resource-center/press-releases/2q26-mpt-top5/</x:v>
      </x:c>
      <x:c r="L33" s="122" t="str">
        <x:v>全球绝对量已与IDC公开表逐项对齐</x:v>
      </x:c>
    </x:row>
    <x:row r="34">
      <x:c r="A34" s="118" t="str">
        <x:v>25Q3</x:v>
      </x:c>
      <x:c r="B34" s="118" t="str">
        <x:v>OPPO</x:v>
      </x:c>
      <x:c r="C34" s="119" t="n">
        <x:f>'计算底稿'!C34</x:f>
        <x:v>26.5</x:v>
      </x:c>
      <x:c r="D34" s="119" t="n">
        <x:f>'计算底稿'!D34</x:f>
        <x:v>10.86</x:v>
      </x:c>
      <x:c r="E34" s="119" t="n">
        <x:f>'计算底稿'!E34</x:f>
        <x:v>15.64</x:v>
      </x:c>
      <x:c r="F34" s="120" t="str">
        <x:f>IF(ABS(E34-(C34-D34))&lt;0.000001,"PASS","FAIL")</x:f>
        <x:v>PASS</x:v>
      </x:c>
      <x:c r="G34" s="121" t="n">
        <x:f>'计算底稿'!P34</x:f>
        <x:v>0.019230769230769162</x:v>
      </x:c>
      <x:c r="H34" s="122" t="str">
        <x:f>'计算底稿'!O34</x:f>
        <x:v>旧口径/非当前Top 5，无法用当前公开表复核</x:v>
      </x:c>
      <x:c r="I34" s="122" t="str">
        <x:f>'计算底稿'!L34</x:f>
        <x:v>IDC_OLD_SCOPE</x:v>
      </x:c>
      <x:c r="J34" s="122" t="str">
        <x:f>'计算底稿'!M34</x:f>
        <x:v>IDC 25Q3历史数据，2025-11-06</x:v>
      </x:c>
      <x:c r="K34" s="122" t="str">
        <x:f>'计算底稿'!N34</x:f>
        <x:v>https://www.idc.com/promo/smartphone-market-share/?submit=Search</x:v>
      </x:c>
      <x:c r="L34" s="122" t="str">
        <x:v>不在当期IDC公开Top 5绝对量表内，不声称为IDC直接值</x:v>
      </x:c>
    </x:row>
    <x:row r="35">
      <x:c r="A35" s="118" t="str">
        <x:v>25Q4</x:v>
      </x:c>
      <x:c r="B35" s="118" t="str">
        <x:v>OPPO</x:v>
      </x:c>
      <x:c r="C35" s="119" t="n">
        <x:f>'计算底稿'!C35</x:f>
        <x:v>26.9</x:v>
      </x:c>
      <x:c r="D35" s="119" t="n">
        <x:f>'计算底稿'!D35</x:f>
        <x:v>12.56</x:v>
      </x:c>
      <x:c r="E35" s="119" t="n">
        <x:f>'计算底稿'!E35</x:f>
        <x:v>14.339999999999998</x:v>
      </x:c>
      <x:c r="F35" s="120" t="str">
        <x:f>IF(ABS(E35-(C35-D35))&lt;0.000001,"PASS","FAIL")</x:f>
        <x:v>PASS</x:v>
      </x:c>
      <x:c r="G35" s="121" t="n">
        <x:f>'计算底稿'!P35</x:f>
        <x:v>0.076</x:v>
      </x:c>
      <x:c r="H35" s="122" t="str">
        <x:f>'计算底稿'!O35</x:f>
        <x:v>与IDC公开表一致</x:v>
      </x:c>
      <x:c r="I35" s="122" t="str">
        <x:f>'计算底稿'!L35</x:f>
        <x:v>IDC_OLD_SCOPE</x:v>
      </x:c>
      <x:c r="J35" s="122" t="str">
        <x:f>'计算底稿'!M35</x:f>
        <x:v>IDC 25Q4初值，2026-01-13</x:v>
      </x:c>
      <x:c r="K35" s="122" t="str">
        <x:f>'计算底稿'!N35</x:f>
        <x:v>https://www.idc.com/resource-center/press-releases/q425mobilephonetop5/</x:v>
      </x:c>
      <x:c r="L35" s="122" t="str">
        <x:v>全球绝对量已与IDC公开表逐项对齐</x:v>
      </x:c>
    </x:row>
    <x:row r="36">
      <x:c r="A36" s="118" t="str">
        <x:v>26Q1</x:v>
      </x:c>
      <x:c r="B36" s="118" t="str">
        <x:v>OPPO</x:v>
      </x:c>
      <x:c r="C36" s="119" t="n">
        <x:f>'计算底稿'!C36</x:f>
        <x:v>30.7</x:v>
      </x:c>
      <x:c r="D36" s="119" t="n">
        <x:f>'计算底稿'!D36</x:f>
        <x:v>11.01</x:v>
      </x:c>
      <x:c r="E36" s="119" t="n">
        <x:f>'计算底稿'!E36</x:f>
        <x:v>19.689999999999998</x:v>
      </x:c>
      <x:c r="F36" s="120" t="str">
        <x:f>IF(ABS(E36-(C36-D36))&lt;0.000001,"PASS","FAIL")</x:f>
        <x:v>PASS</x:v>
      </x:c>
      <x:c r="G36" s="121" t="n">
        <x:f>'计算底稿'!P36</x:f>
        <x:v>-0.099</x:v>
      </x:c>
      <x:c r="H36" s="122" t="str">
        <x:f>'计算底稿'!O36</x:f>
        <x:v>与IDC公开表一致</x:v>
      </x:c>
      <x:c r="I36" s="122" t="str">
        <x:f>'计算底稿'!L36</x:f>
        <x:v>IDC_FINAL</x:v>
      </x:c>
      <x:c r="J36" s="122" t="str">
        <x:f>'计算底稿'!M36</x:f>
        <x:v>IDC 26Q1最终历史数据，2026-05-07</x:v>
      </x:c>
      <x:c r="K36" s="122" t="str">
        <x:f>'计算底稿'!N36</x:f>
        <x:v>https://www.idc.com/promo/smartphone-market-share/market-share/</x:v>
      </x:c>
      <x:c r="L36" s="122" t="str">
        <x:v>全球绝对量已与IDC公开表逐项对齐</x:v>
      </x:c>
    </x:row>
    <x:row r="37">
      <x:c r="A37" s="118" t="str">
        <x:v>26Q2</x:v>
      </x:c>
      <x:c r="B37" s="118" t="str">
        <x:v>OPPO</x:v>
      </x:c>
      <x:c r="C37" s="119" t="n">
        <x:f>'计算底稿'!C37</x:f>
        <x:v>28.8</x:v>
      </x:c>
      <x:c r="D37" s="119" t="n">
        <x:f>'计算底稿'!D37</x:f>
        <x:v>10.59</x:v>
      </x:c>
      <x:c r="E37" s="119" t="n">
        <x:f>'计算底稿'!E37</x:f>
        <x:v>18.21</x:v>
      </x:c>
      <x:c r="F37" s="120" t="str">
        <x:f>IF(ABS(E37-(C37-D37))&lt;0.000001,"PASS","FAIL")</x:f>
        <x:v>PASS</x:v>
      </x:c>
      <x:c r="G37" s="121" t="n">
        <x:f>'计算底稿'!P37</x:f>
        <x:v>-0.175</x:v>
      </x:c>
      <x:c r="H37" s="122" t="str">
        <x:f>'计算底稿'!O37</x:f>
        <x:v>与IDC公开表一致</x:v>
      </x:c>
      <x:c r="I37" s="122" t="str">
        <x:f>'计算底稿'!L37</x:f>
        <x:v>IDC_PRELIM</x:v>
      </x:c>
      <x:c r="J37" s="122" t="str">
        <x:f>'计算底稿'!M37</x:f>
        <x:v>IDC 26Q2初值，2026-07-13</x:v>
      </x:c>
      <x:c r="K37" s="122" t="str">
        <x:f>'计算底稿'!N37</x:f>
        <x:v>https://www.idc.com/resource-center/press-releases/2q26-mpt-top5/</x:v>
      </x:c>
      <x:c r="L37" s="122" t="str">
        <x:v>全球绝对量已与IDC公开表逐项对齐</x:v>
      </x:c>
    </x:row>
    <x:row r="38">
      <x:c r="A38" s="118" t="str">
        <x:v>25Q1</x:v>
      </x:c>
      <x:c r="B38" s="118" t="str">
        <x:v>Huawei</x:v>
      </x:c>
      <x:c r="C38" s="119" t="n">
        <x:f>'计算底稿'!C38</x:f>
        <x:v>16.4</x:v>
      </x:c>
      <x:c r="D38" s="119" t="n">
        <x:f>'计算底稿'!D38</x:f>
        <x:v>15.02</x:v>
      </x:c>
      <x:c r="E38" s="119" t="n">
        <x:f>'计算底稿'!E38</x:f>
        <x:v>1.379999999999999</x:v>
      </x:c>
      <x:c r="F38" s="120" t="str">
        <x:f>IF(ABS(E38-(C38-D38))&lt;0.000001,"PASS","FAIL")</x:f>
        <x:v>PASS</x:v>
      </x:c>
      <x:c r="G38" s="121" t="n">
        <x:f>'计算底稿'!P38</x:f>
        <x:v>0.10067114093959728</x:v>
      </x:c>
      <x:c r="H38" s="122" t="str">
        <x:f>'计算底稿'!O38</x:f>
        <x:v>公开信息估算，非IDC直接披露</x:v>
      </x:c>
      <x:c r="I38" s="122" t="str">
        <x:f>'计算底稿'!L38</x:f>
        <x:v>ESTIMATE</x:v>
      </x:c>
      <x:c r="J38" s="122" t="str">
        <x:f>'计算底稿'!M38</x:f>
        <x:v>IDC 26Q1最终历史表中回溯重列的25Q1对比值</x:v>
      </x:c>
      <x:c r="K38" s="122" t="str">
        <x:f>'计算底稿'!N38</x:f>
        <x:v>https://www.idc.com/promo/smartphone-market-share/market-share/</x:v>
      </x:c>
      <x:c r="L38" s="122" t="str">
        <x:v>不在当期IDC公开Top 5绝对量表内，不声称为IDC直接值</x:v>
      </x:c>
    </x:row>
    <x:row r="39">
      <x:c r="A39" s="118" t="str">
        <x:v>25Q2</x:v>
      </x:c>
      <x:c r="B39" s="118" t="str">
        <x:v>Huawei</x:v>
      </x:c>
      <x:c r="C39" s="119" t="n">
        <x:f>'计算底稿'!C39</x:f>
        <x:v>16.3</x:v>
      </x:c>
      <x:c r="D39" s="119" t="n">
        <x:f>'计算底稿'!D39</x:f>
        <x:v>14.9</x:v>
      </x:c>
      <x:c r="E39" s="119" t="n">
        <x:f>'计算底稿'!E39</x:f>
        <x:v>1.4000000000000004</x:v>
      </x:c>
      <x:c r="F39" s="120" t="str">
        <x:f>IF(ABS(E39-(C39-D39))&lt;0.000001,"PASS","FAIL")</x:f>
        <x:v>PASS</x:v>
      </x:c>
      <x:c r="G39" s="121" t="n">
        <x:f>'计算底稿'!P39</x:f>
        <x:v>0.006172839506172867</x:v>
      </x:c>
      <x:c r="H39" s="122" t="str">
        <x:f>'计算底稿'!O39</x:f>
        <x:v>公开信息估算，非IDC直接披露</x:v>
      </x:c>
      <x:c r="I39" s="122" t="str">
        <x:f>'计算底稿'!L39</x:f>
        <x:v>ESTIMATE</x:v>
      </x:c>
      <x:c r="J39" s="122" t="str">
        <x:f>'计算底稿'!M39</x:f>
        <x:v>IDC 26Q2公开表中回溯重列的25Q2对比值</x:v>
      </x:c>
      <x:c r="K39" s="122" t="str">
        <x:f>'计算底稿'!N39</x:f>
        <x:v>https://www.idc.com/resource-center/press-releases/2q26-mpt-top5/</x:v>
      </x:c>
      <x:c r="L39" s="122" t="str">
        <x:v>不在当期IDC公开Top 5绝对量表内，不声称为IDC直接值</x:v>
      </x:c>
    </x:row>
    <x:row r="40">
      <x:c r="A40" s="118" t="str">
        <x:v>25Q3</x:v>
      </x:c>
      <x:c r="B40" s="118" t="str">
        <x:v>Huawei</x:v>
      </x:c>
      <x:c r="C40" s="119" t="n">
        <x:f>'计算底稿'!C40</x:f>
        <x:v>14.3</x:v>
      </x:c>
      <x:c r="D40" s="119" t="n">
        <x:f>'计算底稿'!D40</x:f>
        <x:v>12.9</x:v>
      </x:c>
      <x:c r="E40" s="119" t="n">
        <x:f>'计算底稿'!E40</x:f>
        <x:v>1.4000000000000004</x:v>
      </x:c>
      <x:c r="F40" s="120" t="str">
        <x:f>IF(ABS(E40-(C40-D40))&lt;0.000001,"PASS","FAIL")</x:f>
        <x:v>PASS</x:v>
      </x:c>
      <x:c r="G40" s="121" t="n">
        <x:f>'计算底稿'!P40</x:f>
        <x:v>0.03623188405797095</x:v>
      </x:c>
      <x:c r="H40" s="122" t="str">
        <x:f>'计算底稿'!O40</x:f>
        <x:v>公开信息估算，非IDC直接披露</x:v>
      </x:c>
      <x:c r="I40" s="122" t="str">
        <x:f>'计算底稿'!L40</x:f>
        <x:v>ESTIMATE</x:v>
      </x:c>
      <x:c r="J40" s="122" t="str">
        <x:f>'计算底稿'!M40</x:f>
        <x:v>IDC 25Q3历史数据，2025-11-06</x:v>
      </x:c>
      <x:c r="K40" s="122" t="str">
        <x:f>'计算底稿'!N40</x:f>
        <x:v>https://www.idc.com/promo/smartphone-market-share/?submit=Search</x:v>
      </x:c>
      <x:c r="L40" s="122" t="str">
        <x:v>不在当期IDC公开Top 5绝对量表内，不声称为IDC直接值</x:v>
      </x:c>
    </x:row>
    <x:row r="41">
      <x:c r="A41" s="118" t="str">
        <x:v>25Q4</x:v>
      </x:c>
      <x:c r="B41" s="118" t="str">
        <x:v>Huawei</x:v>
      </x:c>
      <x:c r="C41" s="119" t="n">
        <x:f>'计算底稿'!C41</x:f>
        <x:v>14.6</x:v>
      </x:c>
      <x:c r="D41" s="119" t="n">
        <x:f>'计算底稿'!D41</x:f>
        <x:v>13.15</x:v>
      </x:c>
      <x:c r="E41" s="119" t="n">
        <x:f>'计算底稿'!E41</x:f>
        <x:v>1.4499999999999993</x:v>
      </x:c>
      <x:c r="F41" s="120" t="str">
        <x:f>IF(ABS(E41-(C41-D41))&lt;0.000001,"PASS","FAIL")</x:f>
        <x:v>PASS</x:v>
      </x:c>
      <x:c r="G41" s="121" t="n">
        <x:f>'计算底稿'!P41</x:f>
        <x:v>-0.0641025641025641</x:v>
      </x:c>
      <x:c r="H41" s="122" t="str">
        <x:f>'计算底稿'!O41</x:f>
        <x:v>公开信息估算，非IDC直接披露</x:v>
      </x:c>
      <x:c r="I41" s="122" t="str">
        <x:f>'计算底稿'!L41</x:f>
        <x:v>ESTIMATE</x:v>
      </x:c>
      <x:c r="J41" s="122" t="str">
        <x:f>'计算底稿'!M41</x:f>
        <x:v>IDC 25Q4初值，2026-01-13</x:v>
      </x:c>
      <x:c r="K41" s="122" t="str">
        <x:f>'计算底稿'!N41</x:f>
        <x:v>https://www.idc.com/resource-center/press-releases/q425mobilephonetop5/</x:v>
      </x:c>
      <x:c r="L41" s="122" t="str">
        <x:v>不在当期IDC公开Top 5绝对量表内，不声称为IDC直接值</x:v>
      </x:c>
    </x:row>
    <x:row r="42">
      <x:c r="A42" s="118" t="str">
        <x:v>26Q1</x:v>
      </x:c>
      <x:c r="B42" s="118" t="str">
        <x:v>Huawei</x:v>
      </x:c>
      <x:c r="C42" s="119" t="n">
        <x:f>'计算底稿'!C42</x:f>
        <x:v>16.5</x:v>
      </x:c>
      <x:c r="D42" s="119" t="n">
        <x:f>'计算底稿'!D42</x:f>
        <x:v>15.01</x:v>
      </x:c>
      <x:c r="E42" s="119" t="n">
        <x:f>'计算底稿'!E42</x:f>
        <x:v>1.4900000000000002</x:v>
      </x:c>
      <x:c r="F42" s="120" t="str">
        <x:f>IF(ABS(E42-(C42-D42))&lt;0.000001,"PASS","FAIL")</x:f>
        <x:v>PASS</x:v>
      </x:c>
      <x:c r="G42" s="121" t="n">
        <x:f>'计算底稿'!P42</x:f>
        <x:v>0.0060975609756097615</x:v>
      </x:c>
      <x:c r="H42" s="122" t="str">
        <x:f>'计算底稿'!O42</x:f>
        <x:v>公开信息估算，非IDC直接披露</x:v>
      </x:c>
      <x:c r="I42" s="122" t="str">
        <x:f>'计算底稿'!L42</x:f>
        <x:v>ESTIMATE</x:v>
      </x:c>
      <x:c r="J42" s="122" t="str">
        <x:f>'计算底稿'!M42</x:f>
        <x:v>IDC 26Q1最终历史数据，2026-05-07</x:v>
      </x:c>
      <x:c r="K42" s="122" t="str">
        <x:f>'计算底稿'!N42</x:f>
        <x:v>https://www.idc.com/promo/smartphone-market-share/market-share/</x:v>
      </x:c>
      <x:c r="L42" s="122" t="str">
        <x:v>不在当期IDC公开Top 5绝对量表内，不声称为IDC直接值</x:v>
      </x:c>
    </x:row>
    <x:row r="43">
      <x:c r="A43" s="118" t="str">
        <x:v>26Q2</x:v>
      </x:c>
      <x:c r="B43" s="118" t="str">
        <x:v>Huawei</x:v>
      </x:c>
      <x:c r="C43" s="119" t="n">
        <x:f>'计算底稿'!C43</x:f>
        <x:v>19.7</x:v>
      </x:c>
      <x:c r="D43" s="119" t="n">
        <x:f>'计算底稿'!D43</x:f>
        <x:v>15.74</x:v>
      </x:c>
      <x:c r="E43" s="119" t="n">
        <x:f>'计算底稿'!E43</x:f>
        <x:v>3.959999999999999</x:v>
      </x:c>
      <x:c r="F43" s="120" t="str">
        <x:f>IF(ABS(E43-(C43-D43))&lt;0.000001,"PASS","FAIL")</x:f>
        <x:v>PASS</x:v>
      </x:c>
      <x:c r="G43" s="121" t="n">
        <x:f>'计算底稿'!P43</x:f>
        <x:v>0.20858895705521463</x:v>
      </x:c>
      <x:c r="H43" s="122" t="str">
        <x:f>'计算底稿'!O43</x:f>
        <x:v>IDC官方同比反推，非直接绝对量</x:v>
      </x:c>
      <x:c r="I43" s="122" t="str">
        <x:f>'计算底稿'!L43</x:f>
        <x:v>IDC_YOY_DERIVED</x:v>
      </x:c>
      <x:c r="J43" s="122" t="str">
        <x:f>'计算底稿'!M43</x:f>
        <x:v>IDC 26Q2初值，2026-07-13</x:v>
      </x:c>
      <x:c r="K43" s="122" t="str">
        <x:f>'计算底稿'!N43</x:f>
        <x:v>https://www.idc.com/resource-center/press-releases/2q26-mpt-top5/</x:v>
      </x:c>
      <x:c r="L43" s="122" t="str">
        <x:v>不在当期IDC公开Top 5绝对量表内，不声称为IDC直接值</x:v>
      </x:c>
    </x:row>
    <x:row r="44">
      <x:c r="A44" s="118" t="str">
        <x:v>25Q1</x:v>
      </x:c>
      <x:c r="B44" s="118" t="str">
        <x:v>Transsion</x:v>
      </x:c>
      <x:c r="C44" s="119" t="n">
        <x:f>'计算底稿'!C44</x:f>
        <x:v>25</x:v>
      </x:c>
      <x:c r="D44" s="119" t="n">
        <x:f>'计算底稿'!D44</x:f>
        <x:v>0.1</x:v>
      </x:c>
      <x:c r="E44" s="119" t="n">
        <x:f>'计算底稿'!E44</x:f>
        <x:v>24.9</x:v>
      </x:c>
      <x:c r="F44" s="120" t="str">
        <x:f>IF(ABS(E44-(C44-D44))&lt;0.000001,"PASS","FAIL")</x:f>
        <x:v>PASS</x:v>
      </x:c>
      <x:c r="G44" s="121" t="n">
        <x:f>'计算底稿'!P44</x:f>
        <x:v>-0.1228070175438597</x:v>
      </x:c>
      <x:c r="H44" s="122" t="str">
        <x:f>'计算底稿'!O44</x:f>
        <x:v>公开信息估算，非IDC直接披露</x:v>
      </x:c>
      <x:c r="I44" s="122" t="str">
        <x:f>'计算底稿'!L44</x:f>
        <x:v>ESTIMATE</x:v>
      </x:c>
      <x:c r="J44" s="122" t="str">
        <x:f>'计算底稿'!M44</x:f>
        <x:v>IDC 26Q1最终历史表中回溯重列的25Q1对比值</x:v>
      </x:c>
      <x:c r="K44" s="122" t="str">
        <x:f>'计算底稿'!N44</x:f>
        <x:v>https://www.idc.com/promo/smartphone-market-share/market-share/</x:v>
      </x:c>
      <x:c r="L44" s="122" t="str">
        <x:v>不在当期IDC公开Top 5绝对量表内，不声称为IDC直接值</x:v>
      </x:c>
    </x:row>
    <x:row r="45">
      <x:c r="A45" s="118" t="str">
        <x:v>25Q2</x:v>
      </x:c>
      <x:c r="B45" s="118" t="str">
        <x:v>Transsion</x:v>
      </x:c>
      <x:c r="C45" s="119" t="n">
        <x:f>'计算底稿'!C45</x:f>
        <x:v>25.1</x:v>
      </x:c>
      <x:c r="D45" s="119" t="n">
        <x:f>'计算底稿'!D45</x:f>
        <x:v>0.1</x:v>
      </x:c>
      <x:c r="E45" s="119" t="n">
        <x:f>'计算底稿'!E45</x:f>
        <x:v>25</x:v>
      </x:c>
      <x:c r="F45" s="120" t="str">
        <x:f>IF(ABS(E45-(C45-D45))&lt;0.000001,"PASS","FAIL")</x:f>
        <x:v>PASS</x:v>
      </x:c>
      <x:c r="G45" s="121" t="n">
        <x:f>'计算底稿'!P45</x:f>
        <x:v>-0.017</x:v>
      </x:c>
      <x:c r="H45" s="122" t="str">
        <x:f>'计算底稿'!O45</x:f>
        <x:v>与IDC当期公开表一致</x:v>
      </x:c>
      <x:c r="I45" s="122" t="str">
        <x:f>'计算底稿'!L45</x:f>
        <x:v>IDC_PRELIM</x:v>
      </x:c>
      <x:c r="J45" s="122" t="str">
        <x:f>'计算底稿'!M45</x:f>
        <x:v>IDC 26Q2公开表中回溯重列的25Q2对比值</x:v>
      </x:c>
      <x:c r="K45" s="122" t="str">
        <x:f>'计算底稿'!N45</x:f>
        <x:v>https://www.idc.com/resource-center/press-releases/2q26-mpt-top5/</x:v>
      </x:c>
      <x:c r="L45" s="122" t="str">
        <x:v>全球绝对量已与IDC公开表逐项对齐</x:v>
      </x:c>
    </x:row>
    <x:row r="46">
      <x:c r="A46" s="118" t="str">
        <x:v>25Q3</x:v>
      </x:c>
      <x:c r="B46" s="118" t="str">
        <x:v>Transsion</x:v>
      </x:c>
      <x:c r="C46" s="119" t="n">
        <x:f>'计算底稿'!C46</x:f>
        <x:v>29.2</x:v>
      </x:c>
      <x:c r="D46" s="119" t="n">
        <x:f>'计算底稿'!D46</x:f>
        <x:v>0.1</x:v>
      </x:c>
      <x:c r="E46" s="119" t="n">
        <x:f>'计算底稿'!E46</x:f>
        <x:v>29.099999999999998</x:v>
      </x:c>
      <x:c r="F46" s="120" t="str">
        <x:f>IF(ABS(E46-(C46-D46))&lt;0.000001,"PASS","FAIL")</x:f>
        <x:v>PASS</x:v>
      </x:c>
      <x:c r="G46" s="121" t="n">
        <x:f>'计算底稿'!P46</x:f>
        <x:v>0.134</x:v>
      </x:c>
      <x:c r="H46" s="122" t="str">
        <x:f>'计算底稿'!O46</x:f>
        <x:v>与IDC公开表一致</x:v>
      </x:c>
      <x:c r="I46" s="122" t="str">
        <x:f>'计算底稿'!L46</x:f>
        <x:v>IDC_FINAL</x:v>
      </x:c>
      <x:c r="J46" s="122" t="str">
        <x:f>'计算底稿'!M46</x:f>
        <x:v>IDC 25Q3历史数据，2025-11-06</x:v>
      </x:c>
      <x:c r="K46" s="122" t="str">
        <x:f>'计算底稿'!N46</x:f>
        <x:v>https://www.idc.com/promo/smartphone-market-share/?submit=Search</x:v>
      </x:c>
      <x:c r="L46" s="122" t="str">
        <x:v>全球绝对量已与IDC公开表逐项对齐</x:v>
      </x:c>
    </x:row>
    <x:row r="47">
      <x:c r="A47" s="118" t="str">
        <x:v>25Q4</x:v>
      </x:c>
      <x:c r="B47" s="118" t="str">
        <x:v>Transsion</x:v>
      </x:c>
      <x:c r="C47" s="119" t="n">
        <x:f>'计算底稿'!C47</x:f>
        <x:v>25</x:v>
      </x:c>
      <x:c r="D47" s="119" t="n">
        <x:f>'计算底稿'!D47</x:f>
        <x:v>0.1</x:v>
      </x:c>
      <x:c r="E47" s="119" t="n">
        <x:f>'计算底稿'!E47</x:f>
        <x:v>24.9</x:v>
      </x:c>
      <x:c r="F47" s="120" t="str">
        <x:f>IF(ABS(E47-(C47-D47))&lt;0.000001,"PASS","FAIL")</x:f>
        <x:v>PASS</x:v>
      </x:c>
      <x:c r="G47" s="121" t="n">
        <x:f>'计算底稿'!P47</x:f>
        <x:v>-0.015748031496062964</x:v>
      </x:c>
      <x:c r="H47" s="122" t="str">
        <x:f>'计算底稿'!O47</x:f>
        <x:v>公开信息估算，非IDC直接披露</x:v>
      </x:c>
      <x:c r="I47" s="122" t="str">
        <x:f>'计算底稿'!L47</x:f>
        <x:v>ESTIMATE</x:v>
      </x:c>
      <x:c r="J47" s="122" t="str">
        <x:f>'计算底稿'!M47</x:f>
        <x:v>IDC 25Q4初值，2026-01-13</x:v>
      </x:c>
      <x:c r="K47" s="122" t="str">
        <x:f>'计算底稿'!N47</x:f>
        <x:v>https://www.idc.com/resource-center/press-releases/q425mobilephonetop5/</x:v>
      </x:c>
      <x:c r="L47" s="122" t="str">
        <x:v>不在当期IDC公开Top 5绝对量表内，不声称为IDC直接值</x:v>
      </x:c>
    </x:row>
    <x:row r="48">
      <x:c r="A48" s="118" t="str">
        <x:v>26Q1</x:v>
      </x:c>
      <x:c r="B48" s="118" t="str">
        <x:v>Transsion</x:v>
      </x:c>
      <x:c r="C48" s="119" t="n">
        <x:f>'计算底稿'!C48</x:f>
        <x:v>19.5</x:v>
      </x:c>
      <x:c r="D48" s="119" t="n">
        <x:f>'计算底稿'!D48</x:f>
        <x:v>0.1</x:v>
      </x:c>
      <x:c r="E48" s="119" t="n">
        <x:f>'计算底稿'!E48</x:f>
        <x:v>19.4</x:v>
      </x:c>
      <x:c r="F48" s="120" t="str">
        <x:f>IF(ABS(E48-(C48-D48))&lt;0.000001,"PASS","FAIL")</x:f>
        <x:v>PASS</x:v>
      </x:c>
      <x:c r="G48" s="121" t="n">
        <x:f>'计算底稿'!P48</x:f>
        <x:v>-0.21999999999999997</x:v>
      </x:c>
      <x:c r="H48" s="122" t="str">
        <x:f>'计算底稿'!O48</x:f>
        <x:v>公开信息估算，非IDC直接披露</x:v>
      </x:c>
      <x:c r="I48" s="122" t="str">
        <x:f>'计算底稿'!L48</x:f>
        <x:v>ESTIMATE</x:v>
      </x:c>
      <x:c r="J48" s="122" t="str">
        <x:f>'计算底稿'!M48</x:f>
        <x:v>IDC 26Q1最终历史数据，2026-05-07</x:v>
      </x:c>
      <x:c r="K48" s="122" t="str">
        <x:f>'计算底稿'!N48</x:f>
        <x:v>https://www.idc.com/promo/smartphone-market-share/market-share/</x:v>
      </x:c>
      <x:c r="L48" s="122" t="str">
        <x:v>不在当期IDC公开Top 5绝对量表内，不声称为IDC直接值</x:v>
      </x:c>
    </x:row>
    <x:row r="49">
      <x:c r="A49" s="118" t="str">
        <x:v>26Q2</x:v>
      </x:c>
      <x:c r="B49" s="118" t="str">
        <x:v>Transsion</x:v>
      </x:c>
      <x:c r="C49" s="119" t="n">
        <x:f>'计算底稿'!C49</x:f>
        <x:v>18.5</x:v>
      </x:c>
      <x:c r="D49" s="119" t="n">
        <x:f>'计算底稿'!D49</x:f>
        <x:v>0.1</x:v>
      </x:c>
      <x:c r="E49" s="119" t="n">
        <x:f>'计算底稿'!E49</x:f>
        <x:v>18.4</x:v>
      </x:c>
      <x:c r="F49" s="120" t="str">
        <x:f>IF(ABS(E49-(C49-D49))&lt;0.000001,"PASS","FAIL")</x:f>
        <x:v>PASS</x:v>
      </x:c>
      <x:c r="G49" s="121" t="n">
        <x:f>'计算底稿'!P49</x:f>
        <x:v>-0.26294820717131473</x:v>
      </x:c>
      <x:c r="H49" s="122" t="str">
        <x:f>'计算底稿'!O49</x:f>
        <x:v>公开信息估算，非IDC直接披露</x:v>
      </x:c>
      <x:c r="I49" s="122" t="str">
        <x:f>'计算底稿'!L49</x:f>
        <x:v>ESTIMATE</x:v>
      </x:c>
      <x:c r="J49" s="122" t="str">
        <x:f>'计算底稿'!M49</x:f>
        <x:v>IDC 26Q2初值，2026-07-13</x:v>
      </x:c>
      <x:c r="K49" s="122" t="str">
        <x:f>'计算底稿'!N49</x:f>
        <x:v>https://www.idc.com/resource-center/press-releases/2q26-mpt-top5/</x:v>
      </x:c>
      <x:c r="L49" s="122" t="str">
        <x:v>不在当期IDC公开Top 5绝对量表内，不声称为IDC直接值</x:v>
      </x:c>
    </x:row>
    <x:row r="50">
      <x:c r="A50" s="118" t="str">
        <x:v>25Q1</x:v>
      </x:c>
      <x:c r="B50" s="118" t="str">
        <x:v>市场总计</x:v>
      </x:c>
      <x:c r="C50" s="119" t="n">
        <x:f>'计算底稿'!C50</x:f>
        <x:v>302.6</x:v>
      </x:c>
      <x:c r="D50" s="119" t="n">
        <x:f>'计算底稿'!D50</x:f>
        <x:v>71.4</x:v>
      </x:c>
      <x:c r="E50" s="119" t="n">
        <x:f>'计算底稿'!E50</x:f>
        <x:v>231.20000000000002</x:v>
      </x:c>
      <x:c r="F50" s="120" t="str">
        <x:f>IF(ABS(E50-(C50-D50))&lt;0.000001,"PASS","FAIL")</x:f>
        <x:v>PASS</x:v>
      </x:c>
      <x:c r="G50" s="121" t="n">
        <x:f>'计算底稿'!P50</x:f>
        <x:v>0.015</x:v>
      </x:c>
      <x:c r="H50" s="122" t="str">
        <x:f>'计算底稿'!O50</x:f>
        <x:v>全球总量与IDC公开表一致</x:v>
      </x:c>
      <x:c r="I50" s="122" t="str">
        <x:f>'计算底稿'!L50</x:f>
        <x:v>IDC_REVISED / CHINA_CONFIRMED</x:v>
      </x:c>
      <x:c r="J50" s="122" t="str">
        <x:f>'计算底稿'!M50</x:f>
        <x:v>IDC 26Q1最终历史表中回溯重列的25Q1对比值；中国总量为用户确认准确看板</x:v>
      </x:c>
      <x:c r="K50" s="122" t="str">
        <x:f>'计算底稿'!N50</x:f>
        <x:v>https://www.idc.com/promo/smartphone-market-share/market-share/</x:v>
      </x:c>
      <x:c r="L50" s="122" t="str">
        <x:v>全球总量取IDC公开表；中国总量取用户准确看板；海外为差值</x:v>
      </x:c>
    </x:row>
    <x:row r="51">
      <x:c r="A51" s="118" t="str">
        <x:v>25Q2</x:v>
      </x:c>
      <x:c r="B51" s="118" t="str">
        <x:v>市场总计</x:v>
      </x:c>
      <x:c r="C51" s="119" t="n">
        <x:f>'计算底稿'!C51</x:f>
        <x:v>297.4</x:v>
      </x:c>
      <x:c r="D51" s="119" t="n">
        <x:f>'计算底稿'!D51</x:f>
        <x:v>69</x:v>
      </x:c>
      <x:c r="E51" s="119" t="n">
        <x:f>'计算底稿'!E51</x:f>
        <x:v>228.39999999999998</x:v>
      </x:c>
      <x:c r="F51" s="120" t="str">
        <x:f>IF(ABS(E51-(C51-D51))&lt;0.000001,"PASS","FAIL")</x:f>
        <x:v>PASS</x:v>
      </x:c>
      <x:c r="G51" s="121" t="n">
        <x:f>'计算底稿'!P51</x:f>
        <x:v>0.01</x:v>
      </x:c>
      <x:c r="H51" s="122" t="str">
        <x:f>'计算底稿'!O51</x:f>
        <x:v>全球总量与IDC公开表一致</x:v>
      </x:c>
      <x:c r="I51" s="122" t="str">
        <x:f>'计算底稿'!L51</x:f>
        <x:v>IDC_REVISED / CHINA_CONFIRMED</x:v>
      </x:c>
      <x:c r="J51" s="122" t="str">
        <x:f>'计算底稿'!M51</x:f>
        <x:v>IDC 26Q2公开表中回溯重列的25Q2对比值；中国总量为用户确认准确看板</x:v>
      </x:c>
      <x:c r="K51" s="122" t="str">
        <x:f>'计算底稿'!N51</x:f>
        <x:v>https://www.idc.com/resource-center/press-releases/2q26-mpt-top5/</x:v>
      </x:c>
      <x:c r="L51" s="122" t="str">
        <x:v>全球总量取IDC公开表；中国总量取用户准确看板；海外为差值</x:v>
      </x:c>
    </x:row>
    <x:row r="52">
      <x:c r="A52" s="118" t="str">
        <x:v>25Q3</x:v>
      </x:c>
      <x:c r="B52" s="118" t="str">
        <x:v>市场总计</x:v>
      </x:c>
      <x:c r="C52" s="119" t="n">
        <x:f>'计算底稿'!C52</x:f>
        <x:v>325.7</x:v>
      </x:c>
      <x:c r="D52" s="119" t="n">
        <x:f>'计算底稿'!D52</x:f>
        <x:v>68.5</x:v>
      </x:c>
      <x:c r="E52" s="119" t="n">
        <x:f>'计算底稿'!E52</x:f>
        <x:v>257.2</x:v>
      </x:c>
      <x:c r="F52" s="120" t="str">
        <x:f>IF(ABS(E52-(C52-D52))&lt;0.000001,"PASS","FAIL")</x:f>
        <x:v>PASS</x:v>
      </x:c>
      <x:c r="G52" s="121" t="n">
        <x:f>'计算底稿'!P52</x:f>
        <x:v>0.035</x:v>
      </x:c>
      <x:c r="H52" s="122" t="str">
        <x:f>'计算底稿'!O52</x:f>
        <x:v>全球总量与IDC公开表一致</x:v>
      </x:c>
      <x:c r="I52" s="122" t="str">
        <x:f>'计算底稿'!L52</x:f>
        <x:v>IDC_FINAL / CHINA_CONFIRMED</x:v>
      </x:c>
      <x:c r="J52" s="122" t="str">
        <x:f>'计算底稿'!M52</x:f>
        <x:v>IDC 25Q3历史数据，2025-11-06；中国总量为用户确认准确看板</x:v>
      </x:c>
      <x:c r="K52" s="122" t="str">
        <x:f>'计算底稿'!N52</x:f>
        <x:v>https://www.idc.com/promo/smartphone-market-share/?submit=Search</x:v>
      </x:c>
      <x:c r="L52" s="122" t="str">
        <x:v>全球总量取IDC公开表；中国总量取用户准确看板；海外为差值</x:v>
      </x:c>
    </x:row>
    <x:row r="53">
      <x:c r="A53" s="118" t="str">
        <x:v>25Q4</x:v>
      </x:c>
      <x:c r="B53" s="118" t="str">
        <x:v>市场总计</x:v>
      </x:c>
      <x:c r="C53" s="119" t="n">
        <x:f>'计算底稿'!C53</x:f>
        <x:v>336.3</x:v>
      </x:c>
      <x:c r="D53" s="119" t="n">
        <x:f>'计算底稿'!D53</x:f>
        <x:v>75.7</x:v>
      </x:c>
      <x:c r="E53" s="119" t="n">
        <x:f>'计算底稿'!E53</x:f>
        <x:v>260.6</x:v>
      </x:c>
      <x:c r="F53" s="120" t="str">
        <x:f>IF(ABS(E53-(C53-D53))&lt;0.000001,"PASS","FAIL")</x:f>
        <x:v>PASS</x:v>
      </x:c>
      <x:c r="G53" s="121" t="n">
        <x:f>'计算底稿'!P53</x:f>
        <x:v>0.023</x:v>
      </x:c>
      <x:c r="H53" s="122" t="str">
        <x:f>'计算底稿'!O53</x:f>
        <x:v>全球总量与IDC公开表一致</x:v>
      </x:c>
      <x:c r="I53" s="122" t="str">
        <x:f>'计算底稿'!L53</x:f>
        <x:v>IDC_PRELIM / CHINA_CONFIRMED</x:v>
      </x:c>
      <x:c r="J53" s="122" t="str">
        <x:f>'计算底稿'!M53</x:f>
        <x:v>IDC 25Q4初值，2026-01-13；中国总量为用户确认准确看板</x:v>
      </x:c>
      <x:c r="K53" s="122" t="str">
        <x:f>'计算底稿'!N53</x:f>
        <x:v>https://www.idc.com/resource-center/press-releases/q425mobilephonetop5/</x:v>
      </x:c>
      <x:c r="L53" s="122" t="str">
        <x:v>全球总量取IDC公开表；中国总量取用户准确看板；海外为差值</x:v>
      </x:c>
    </x:row>
    <x:row r="54">
      <x:c r="A54" s="118" t="str">
        <x:v>26Q1</x:v>
      </x:c>
      <x:c r="B54" s="118" t="str">
        <x:v>市场总计</x:v>
      </x:c>
      <x:c r="C54" s="119" t="n">
        <x:f>'计算底稿'!C54</x:f>
        <x:v>293.8</x:v>
      </x:c>
      <x:c r="D54" s="119" t="n">
        <x:f>'计算底稿'!D54</x:f>
        <x:v>68.4</x:v>
      </x:c>
      <x:c r="E54" s="119" t="n">
        <x:f>'计算底稿'!E54</x:f>
        <x:v>225.4</x:v>
      </x:c>
      <x:c r="F54" s="120" t="str">
        <x:f>IF(ABS(E54-(C54-D54))&lt;0.000001,"PASS","FAIL")</x:f>
        <x:v>PASS</x:v>
      </x:c>
      <x:c r="G54" s="121" t="n">
        <x:f>'计算底稿'!P54</x:f>
        <x:v>-0.028999999999999998</x:v>
      </x:c>
      <x:c r="H54" s="122" t="str">
        <x:f>'计算底稿'!O54</x:f>
        <x:v>全球总量与IDC公开表一致</x:v>
      </x:c>
      <x:c r="I54" s="122" t="str">
        <x:f>'计算底稿'!L54</x:f>
        <x:v>IDC_FINAL / CHINA_CONFIRMED</x:v>
      </x:c>
      <x:c r="J54" s="122" t="str">
        <x:f>'计算底稿'!M54</x:f>
        <x:v>IDC 26Q1最终历史数据，2026-05-07；中国总量为用户确认准确看板</x:v>
      </x:c>
      <x:c r="K54" s="122" t="str">
        <x:f>'计算底稿'!N54</x:f>
        <x:v>https://www.idc.com/promo/smartphone-market-share/market-share/</x:v>
      </x:c>
      <x:c r="L54" s="122" t="str">
        <x:v>全球总量取IDC公开表；中国总量取用户准确看板；海外为差值</x:v>
      </x:c>
    </x:row>
    <x:row r="55">
      <x:c r="A55" s="118" t="str">
        <x:v>26Q2</x:v>
      </x:c>
      <x:c r="B55" s="118" t="str">
        <x:v>市场总计</x:v>
      </x:c>
      <x:c r="C55" s="119" t="n">
        <x:f>'计算底稿'!C55</x:f>
        <x:v>277.5</x:v>
      </x:c>
      <x:c r="D55" s="119" t="n">
        <x:f>'计算底稿'!D55</x:f>
        <x:v>65.9</x:v>
      </x:c>
      <x:c r="E55" s="119" t="n">
        <x:f>'计算底稿'!E55</x:f>
        <x:v>211.6</x:v>
      </x:c>
      <x:c r="F55" s="120" t="str">
        <x:f>IF(ABS(E55-(C55-D55))&lt;0.000001,"PASS","FAIL")</x:f>
        <x:v>PASS</x:v>
      </x:c>
      <x:c r="G55" s="121" t="n">
        <x:f>'计算底稿'!P55</x:f>
        <x:v>-0.067</x:v>
      </x:c>
      <x:c r="H55" s="122" t="str">
        <x:f>'计算底稿'!O55</x:f>
        <x:v>全球总量与IDC公开表一致</x:v>
      </x:c>
      <x:c r="I55" s="122" t="str">
        <x:f>'计算底稿'!L55</x:f>
        <x:v>IDC_PRELIM / CHINA_CONFIRMED</x:v>
      </x:c>
      <x:c r="J55" s="122" t="str">
        <x:f>'计算底稿'!M55</x:f>
        <x:v>IDC 26Q2初值，2026-07-13；中国总量为用户确认准确看板</x:v>
      </x:c>
      <x:c r="K55" s="122" t="str">
        <x:f>'计算底稿'!N55</x:f>
        <x:v>https://www.idc.com/resource-center/press-releases/2q26-mpt-top5/</x:v>
      </x:c>
      <x:c r="L55" s="122" t="str">
        <x:v>全球总量取IDC公开表；中国总量取用户准确看板；海外为差值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13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34" hidden="0" customWidth="1"/>
    <x:col min="13" max="13" width="50" hidden="0" customWidth="1"/>
    <x:col min="14" max="14" width="58" hidden="0" customWidth="1"/>
    <x:col min="15" max="15" width="36" hidden="0" customWidth="1"/>
    <x:col min="16" max="16" width="18" hidden="0" customWidth="1"/>
  </x:cols>
  <x:sheetData>
    <x:row r="1">
      <x:c r="A1" s="10" t="str">
        <x:v>季度</x:v>
      </x:c>
      <x:c r="B1" s="10" t="str">
        <x:v>厂商</x:v>
      </x:c>
      <x:c r="C1" s="10" t="str">
        <x:v>全球出货(M)</x:v>
      </x:c>
      <x:c r="D1" s="10" t="str">
        <x:v>中国出货(M)</x:v>
      </x:c>
      <x:c r="E1" s="10" t="str">
        <x:v>海外出货(M)</x:v>
      </x:c>
      <x:c r="F1" s="10" t="str">
        <x:v>上年同期全球(M)</x:v>
      </x:c>
      <x:c r="G1" s="10" t="str">
        <x:v>上年同期中国(M)</x:v>
      </x:c>
      <x:c r="H1" s="10" t="str">
        <x:v>上年同期海外(M)</x:v>
      </x:c>
      <x:c r="I1" s="10" t="str">
        <x:v>全球YoY计算</x:v>
      </x:c>
      <x:c r="J1" s="10" t="str">
        <x:v>中国YoY</x:v>
      </x:c>
      <x:c r="K1" s="10" t="str">
        <x:v>海外YoY</x:v>
      </x:c>
      <x:c r="L1" s="10" t="str">
        <x:v>来源状态</x:v>
      </x:c>
      <x:c r="M1" s="10" t="str">
        <x:v>公开来源说明</x:v>
      </x:c>
      <x:c r="N1" s="10" t="str">
        <x:v>公开来源URL</x:v>
      </x:c>
      <x:c r="O1" s="10" t="str">
        <x:v>全球值校验</x:v>
      </x:c>
      <x:c r="P1" s="10" t="str">
        <x:v>全球YoY展示</x:v>
      </x:c>
    </x:row>
    <x:row r="2">
      <x:c r="A2" s="11" t="str">
        <x:v>25Q1</x:v>
      </x:c>
      <x:c r="B2" s="11" t="str">
        <x:v>Apple</x:v>
      </x:c>
      <x:c r="C2" s="12" t="n">
        <x:v>59.1</x:v>
      </x:c>
      <x:c r="D2" s="12" t="n">
        <x:v>9.81</x:v>
      </x:c>
      <x:c r="E2" s="12" t="n">
        <x:f>C2-D2</x:f>
        <x:v>49.29</x:v>
      </x:c>
      <x:c r="F2" s="12" t="n">
        <x:v>52.6</x:v>
      </x:c>
      <x:c r="G2" s="12" t="n">
        <x:v>10.79</x:v>
      </x:c>
      <x:c r="H2" s="12" t="n">
        <x:f>F2-G2</x:f>
        <x:v>41.81</x:v>
      </x:c>
      <x:c r="I2" s="13" t="n">
        <x:f>IF(F2=0,"",C2/F2-1)</x:f>
        <x:v>0.12357414448669202</x:v>
      </x:c>
      <x:c r="J2" s="13" t="n">
        <x:f>IF(G2=0,"",D2/G2-1)</x:f>
        <x:v>-0.0908248378127895</x:v>
      </x:c>
      <x:c r="K2" s="13" t="n">
        <x:f>IF(H2=0,"",E2/H2-1)</x:f>
        <x:v>0.17890456828509915</x:v>
      </x:c>
      <x:c r="L2" s="11" t="str">
        <x:v>IDC_REVISED</x:v>
      </x:c>
      <x:c r="M2" s="14" t="str">
        <x:v>IDC 26Q1最终历史表中回溯重列的25Q1对比值</x:v>
      </x:c>
      <x:c r="N2" s="14" t="str">
        <x:v>https://www.idc.com/promo/smartphone-market-share/market-share/</x:v>
      </x:c>
      <x:c r="O2" s="14" t="str">
        <x:v>与IDC公开表一致</x:v>
      </x:c>
      <x:c r="P2" s="13" t="n">
        <x:f>I2</x:f>
        <x:v>0.12357414448669202</x:v>
      </x:c>
    </x:row>
    <x:row r="3">
      <x:c r="A3" s="11" t="str">
        <x:v>25Q2</x:v>
      </x:c>
      <x:c r="B3" s="11" t="str">
        <x:v>Apple</x:v>
      </x:c>
      <x:c r="C3" s="12" t="n">
        <x:v>48.4</x:v>
      </x:c>
      <x:c r="D3" s="12" t="n">
        <x:v>9.59</x:v>
      </x:c>
      <x:c r="E3" s="12" t="n">
        <x:f>C3-D3</x:f>
        <x:v>38.81</x:v>
      </x:c>
      <x:c r="F3" s="12" t="n">
        <x:v>45.7</x:v>
      </x:c>
      <x:c r="G3" s="12" t="n">
        <x:v>9.72</x:v>
      </x:c>
      <x:c r="H3" s="12" t="n">
        <x:f>F3-G3</x:f>
        <x:v>35.980000000000004</x:v>
      </x:c>
      <x:c r="I3" s="13" t="n">
        <x:f>IF(F3=0,"",C3/F3-1)</x:f>
        <x:v>0.05908096280087527</x:v>
      </x:c>
      <x:c r="J3" s="13" t="n">
        <x:f>IF(G3=0,"",D3/G3-1)</x:f>
        <x:v>-0.013374485596707952</x:v>
      </x:c>
      <x:c r="K3" s="13" t="n">
        <x:f>IF(H3=0,"",E3/H3-1)</x:f>
        <x:v>0.0786548082267926</x:v>
      </x:c>
      <x:c r="L3" s="11" t="str">
        <x:v>IDC_REVISED</x:v>
      </x:c>
      <x:c r="M3" s="14" t="str">
        <x:v>IDC 26Q2公开表中回溯重列的25Q2对比值</x:v>
      </x:c>
      <x:c r="N3" s="14" t="str">
        <x:v>https://www.idc.com/resource-center/press-releases/2q26-mpt-top5/</x:v>
      </x:c>
      <x:c r="O3" s="14" t="str">
        <x:v>与IDC公开表一致</x:v>
      </x:c>
      <x:c r="P3" s="13" t="n">
        <x:f>I3</x:f>
        <x:v>0.05908096280087527</x:v>
      </x:c>
    </x:row>
    <x:row r="4">
      <x:c r="A4" s="11" t="str">
        <x:v>25Q3</x:v>
      </x:c>
      <x:c r="B4" s="11" t="str">
        <x:v>Apple</x:v>
      </x:c>
      <x:c r="C4" s="12" t="n">
        <x:v>59.4</x:v>
      </x:c>
      <x:c r="D4" s="12" t="n">
        <x:v>10.79</x:v>
      </x:c>
      <x:c r="E4" s="12" t="n">
        <x:f>C4-D4</x:f>
        <x:v>48.61</x:v>
      </x:c>
      <x:c r="F4" s="12" t="n">
        <x:v>57.1</x:v>
      </x:c>
      <x:c r="G4" s="12" t="n">
        <x:v>10.72</x:v>
      </x:c>
      <x:c r="H4" s="12" t="n">
        <x:f>F4-G4</x:f>
        <x:v>46.38</x:v>
      </x:c>
      <x:c r="I4" s="13" t="n">
        <x:f>IF(F4=0,"",C4/F4-1)</x:f>
        <x:v>0.04028021015761807</x:v>
      </x:c>
      <x:c r="J4" s="13" t="n">
        <x:f>IF(G4=0,"",D4/G4-1)</x:f>
        <x:v>0.006529850746268551</x:v>
      </x:c>
      <x:c r="K4" s="13" t="n">
        <x:f>IF(H4=0,"",E4/H4-1)</x:f>
        <x:v>0.04808106942647683</x:v>
      </x:c>
      <x:c r="L4" s="11" t="str">
        <x:v>IDC_FINAL</x:v>
      </x:c>
      <x:c r="M4" s="14" t="str">
        <x:v>IDC 25Q3历史数据，2025-11-06</x:v>
      </x:c>
      <x:c r="N4" s="14" t="str">
        <x:v>https://www.idc.com/promo/smartphone-market-share/?submit=Search</x:v>
      </x:c>
      <x:c r="O4" s="14" t="str">
        <x:v>与IDC公开表一致</x:v>
      </x:c>
      <x:c r="P4" s="13" t="n">
        <x:v>0.040999999999999995</x:v>
      </x:c>
    </x:row>
    <x:row r="5">
      <x:c r="A5" s="11" t="str">
        <x:v>25Q4</x:v>
      </x:c>
      <x:c r="B5" s="11" t="str">
        <x:v>Apple</x:v>
      </x:c>
      <x:c r="C5" s="12" t="n">
        <x:v>81.3</x:v>
      </x:c>
      <x:c r="D5" s="12" t="n">
        <x:v>16.02</x:v>
      </x:c>
      <x:c r="E5" s="12" t="n">
        <x:f>C5-D5</x:f>
        <x:v>65.28</x:v>
      </x:c>
      <x:c r="F5" s="12" t="n">
        <x:v>77.5</x:v>
      </x:c>
      <x:c r="G5" s="12" t="n">
        <x:v>13.19</x:v>
      </x:c>
      <x:c r="H5" s="12" t="n">
        <x:f>F5-G5</x:f>
        <x:v>64.31</x:v>
      </x:c>
      <x:c r="I5" s="13" t="n">
        <x:f>IF(F5=0,"",C5/F5-1)</x:f>
        <x:v>0.049032258064516165</x:v>
      </x:c>
      <x:c r="J5" s="13" t="n">
        <x:f>IF(G5=0,"",D5/G5-1)</x:f>
        <x:v>0.21455648218347223</x:v>
      </x:c>
      <x:c r="K5" s="13" t="n">
        <x:f>IF(H5=0,"",E5/H5-1)</x:f>
        <x:v>0.015083190794588752</x:v>
      </x:c>
      <x:c r="L5" s="11" t="str">
        <x:v>IDC_PRELIM</x:v>
      </x:c>
      <x:c r="M5" s="14" t="str">
        <x:v>IDC 25Q4初值，2026-01-13</x:v>
      </x:c>
      <x:c r="N5" s="14" t="str">
        <x:v>https://www.idc.com/resource-center/press-releases/q425mobilephonetop5/</x:v>
      </x:c>
      <x:c r="O5" s="14" t="str">
        <x:v>与IDC公开表一致</x:v>
      </x:c>
      <x:c r="P5" s="13" t="n">
        <x:v>0.049</x:v>
      </x:c>
    </x:row>
    <x:row r="6">
      <x:c r="A6" s="11" t="str">
        <x:v>26Q1</x:v>
      </x:c>
      <x:c r="B6" s="11" t="str">
        <x:v>Apple</x:v>
      </x:c>
      <x:c r="C6" s="12" t="n">
        <x:v>61.8</x:v>
      </x:c>
      <x:c r="D6" s="12" t="n">
        <x:v>12.78</x:v>
      </x:c>
      <x:c r="E6" s="12" t="n">
        <x:f>C6-D6</x:f>
        <x:v>49.019999999999996</x:v>
      </x:c>
      <x:c r="F6" s="12" t="n">
        <x:v>59.1</x:v>
      </x:c>
      <x:c r="G6" s="12" t="n">
        <x:v>9.81</x:v>
      </x:c>
      <x:c r="H6" s="12" t="n">
        <x:f>F6-G6</x:f>
        <x:v>49.29</x:v>
      </x:c>
      <x:c r="I6" s="13" t="n">
        <x:f>IF(F6=0,"",C6/F6-1)</x:f>
        <x:v>0.045685279187817285</x:v>
      </x:c>
      <x:c r="J6" s="13" t="n">
        <x:f>IF(G6=0,"",D6/G6-1)</x:f>
        <x:v>0.3027522935779816</x:v>
      </x:c>
      <x:c r="K6" s="13" t="n">
        <x:f>IF(H6=0,"",E6/H6-1)</x:f>
        <x:v>-0.005477784540474762</x:v>
      </x:c>
      <x:c r="L6" s="11" t="str">
        <x:v>IDC_FINAL</x:v>
      </x:c>
      <x:c r="M6" s="14" t="str">
        <x:v>IDC 26Q1最终历史数据，2026-05-07</x:v>
      </x:c>
      <x:c r="N6" s="14" t="str">
        <x:v>https://www.idc.com/promo/smartphone-market-share/market-share/</x:v>
      </x:c>
      <x:c r="O6" s="14" t="str">
        <x:v>与IDC公开表一致</x:v>
      </x:c>
      <x:c r="P6" s="13" t="n">
        <x:v>0.044000000000000004</x:v>
      </x:c>
    </x:row>
    <x:row r="7">
      <x:c r="A7" s="11" t="str">
        <x:v>26Q2</x:v>
      </x:c>
      <x:c r="B7" s="11" t="str">
        <x:v>Apple</x:v>
      </x:c>
      <x:c r="C7" s="12" t="n">
        <x:v>55.8</x:v>
      </x:c>
      <x:c r="D7" s="12" t="n">
        <x:v>11.93</x:v>
      </x:c>
      <x:c r="E7" s="12" t="n">
        <x:f>C7-D7</x:f>
        <x:v>43.87</x:v>
      </x:c>
      <x:c r="F7" s="12" t="n">
        <x:v>48.4</x:v>
      </x:c>
      <x:c r="G7" s="12" t="n">
        <x:v>9.59</x:v>
      </x:c>
      <x:c r="H7" s="12" t="n">
        <x:f>F7-G7</x:f>
        <x:v>38.81</x:v>
      </x:c>
      <x:c r="I7" s="13" t="n">
        <x:f>IF(F7=0,"",C7/F7-1)</x:f>
        <x:v>0.15289256198347112</x:v>
      </x:c>
      <x:c r="J7" s="13" t="n">
        <x:f>IF(G7=0,"",D7/G7-1)</x:f>
        <x:v>0.2440041710114702</x:v>
      </x:c>
      <x:c r="K7" s="13" t="n">
        <x:f>IF(H7=0,"",E7/H7-1)</x:f>
        <x:v>0.13037876835867035</x:v>
      </x:c>
      <x:c r="L7" s="11" t="str">
        <x:v>IDC_PRELIM</x:v>
      </x:c>
      <x:c r="M7" s="14" t="str">
        <x:v>IDC 26Q2初值，2026-07-13</x:v>
      </x:c>
      <x:c r="N7" s="14" t="str">
        <x:v>https://www.idc.com/resource-center/press-releases/2q26-mpt-top5/</x:v>
      </x:c>
      <x:c r="O7" s="14" t="str">
        <x:v>与IDC公开表一致</x:v>
      </x:c>
      <x:c r="P7" s="13" t="n">
        <x:v>0.153</x:v>
      </x:c>
    </x:row>
    <x:row r="8">
      <x:c r="A8" s="11" t="str">
        <x:v>25Q1</x:v>
      </x:c>
      <x:c r="B8" s="11" t="str">
        <x:v>Samsung</x:v>
      </x:c>
      <x:c r="C8" s="12" t="n">
        <x:v>60.6</x:v>
      </x:c>
      <x:c r="D8" s="12" t="n">
        <x:v>0.5</x:v>
      </x:c>
      <x:c r="E8" s="12" t="n">
        <x:f>C8-D8</x:f>
        <x:v>60.1</x:v>
      </x:c>
      <x:c r="F8" s="12" t="n">
        <x:v>60.2</x:v>
      </x:c>
      <x:c r="G8" s="12" t="n">
        <x:v>0.5</x:v>
      </x:c>
      <x:c r="H8" s="12" t="n">
        <x:f>F8-G8</x:f>
        <x:v>59.7</x:v>
      </x:c>
      <x:c r="I8" s="13" t="n">
        <x:f>IF(F8=0,"",C8/F8-1)</x:f>
        <x:v>0.006644518272425293</x:v>
      </x:c>
      <x:c r="J8" s="13" t="n">
        <x:f>IF(G8=0,"",D8/G8-1)</x:f>
        <x:v>0</x:v>
      </x:c>
      <x:c r="K8" s="13" t="n">
        <x:f>IF(H8=0,"",E8/H8-1)</x:f>
        <x:v>0.00670016750418756</x:v>
      </x:c>
      <x:c r="L8" s="11" t="str">
        <x:v>IDC_REVISED</x:v>
      </x:c>
      <x:c r="M8" s="14" t="str">
        <x:v>IDC 26Q1最终历史表中回溯重列的25Q1对比值</x:v>
      </x:c>
      <x:c r="N8" s="14" t="str">
        <x:v>https://www.idc.com/promo/smartphone-market-share/market-share/</x:v>
      </x:c>
      <x:c r="O8" s="14" t="str">
        <x:v>与IDC公开表一致</x:v>
      </x:c>
      <x:c r="P8" s="13" t="n">
        <x:f>I8</x:f>
        <x:v>0.006644518272425293</x:v>
      </x:c>
    </x:row>
    <x:row r="9">
      <x:c r="A9" s="11" t="str">
        <x:v>25Q2</x:v>
      </x:c>
      <x:c r="B9" s="11" t="str">
        <x:v>Samsung</x:v>
      </x:c>
      <x:c r="C9" s="12" t="n">
        <x:v>58</x:v>
      </x:c>
      <x:c r="D9" s="12" t="n">
        <x:v>0.4</x:v>
      </x:c>
      <x:c r="E9" s="12" t="n">
        <x:f>C9-D9</x:f>
        <x:v>57.6</x:v>
      </x:c>
      <x:c r="F9" s="12" t="n">
        <x:v>53.8</x:v>
      </x:c>
      <x:c r="G9" s="12" t="n">
        <x:v>0.5</x:v>
      </x:c>
      <x:c r="H9" s="12" t="n">
        <x:f>F9-G9</x:f>
        <x:v>53.3</x:v>
      </x:c>
      <x:c r="I9" s="13" t="n">
        <x:f>IF(F9=0,"",C9/F9-1)</x:f>
        <x:v>0.0780669144981414</x:v>
      </x:c>
      <x:c r="J9" s="13" t="n">
        <x:f>IF(G9=0,"",D9/G9-1)</x:f>
        <x:v>-0.19999999999999996</x:v>
      </x:c>
      <x:c r="K9" s="13" t="n">
        <x:f>IF(H9=0,"",E9/H9-1)</x:f>
        <x:v>0.08067542213883683</x:v>
      </x:c>
      <x:c r="L9" s="11" t="str">
        <x:v>IDC_REVISED</x:v>
      </x:c>
      <x:c r="M9" s="14" t="str">
        <x:v>IDC 26Q2公开表中回溯重列的25Q2对比值</x:v>
      </x:c>
      <x:c r="N9" s="14" t="str">
        <x:v>https://www.idc.com/resource-center/press-releases/2q26-mpt-top5/</x:v>
      </x:c>
      <x:c r="O9" s="14" t="str">
        <x:v>与IDC公开表一致</x:v>
      </x:c>
      <x:c r="P9" s="13" t="n">
        <x:f>I9</x:f>
        <x:v>0.0780669144981414</x:v>
      </x:c>
    </x:row>
    <x:row r="10">
      <x:c r="A10" s="11" t="str">
        <x:v>25Q3</x:v>
      </x:c>
      <x:c r="B10" s="11" t="str">
        <x:v>Samsung</x:v>
      </x:c>
      <x:c r="C10" s="12" t="n">
        <x:v>61.4</x:v>
      </x:c>
      <x:c r="D10" s="12" t="n">
        <x:v>0.4</x:v>
      </x:c>
      <x:c r="E10" s="12" t="n">
        <x:f>C10-D10</x:f>
        <x:v>61</x:v>
      </x:c>
      <x:c r="F10" s="12" t="n">
        <x:v>57.7</x:v>
      </x:c>
      <x:c r="G10" s="12" t="n">
        <x:v>0.5</x:v>
      </x:c>
      <x:c r="H10" s="12" t="n">
        <x:f>F10-G10</x:f>
        <x:v>57.2</x:v>
      </x:c>
      <x:c r="I10" s="13" t="n">
        <x:f>IF(F10=0,"",C10/F10-1)</x:f>
        <x:v>0.06412478336221827</x:v>
      </x:c>
      <x:c r="J10" s="13" t="n">
        <x:f>IF(G10=0,"",D10/G10-1)</x:f>
        <x:v>-0.19999999999999996</x:v>
      </x:c>
      <x:c r="K10" s="13" t="n">
        <x:f>IF(H10=0,"",E10/H10-1)</x:f>
        <x:v>0.06643356643356646</x:v>
      </x:c>
      <x:c r="L10" s="11" t="str">
        <x:v>IDC_FINAL</x:v>
      </x:c>
      <x:c r="M10" s="14" t="str">
        <x:v>IDC 25Q3历史数据，2025-11-06</x:v>
      </x:c>
      <x:c r="N10" s="14" t="str">
        <x:v>https://www.idc.com/promo/smartphone-market-share/?submit=Search</x:v>
      </x:c>
      <x:c r="O10" s="14" t="str">
        <x:v>与IDC公开表一致</x:v>
      </x:c>
      <x:c r="P10" s="13" t="n">
        <x:v>0.063</x:v>
      </x:c>
    </x:row>
    <x:row r="11">
      <x:c r="A11" s="11" t="str">
        <x:v>25Q4</x:v>
      </x:c>
      <x:c r="B11" s="11" t="str">
        <x:v>Samsung</x:v>
      </x:c>
      <x:c r="C11" s="12" t="n">
        <x:v>61.2</x:v>
      </x:c>
      <x:c r="D11" s="12" t="n">
        <x:v>0.4</x:v>
      </x:c>
      <x:c r="E11" s="12" t="n">
        <x:f>C11-D11</x:f>
        <x:v>60.800000000000004</x:v>
      </x:c>
      <x:c r="F11" s="12" t="n">
        <x:v>51.7</x:v>
      </x:c>
      <x:c r="G11" s="12" t="n">
        <x:v>0.4</x:v>
      </x:c>
      <x:c r="H11" s="12" t="n">
        <x:f>F11-G11</x:f>
        <x:v>51.300000000000004</x:v>
      </x:c>
      <x:c r="I11" s="13" t="n">
        <x:f>IF(F11=0,"",C11/F11-1)</x:f>
        <x:v>0.18375241779497098</x:v>
      </x:c>
      <x:c r="J11" s="13" t="n">
        <x:f>IF(G11=0,"",D11/G11-1)</x:f>
        <x:v>0</x:v>
      </x:c>
      <x:c r="K11" s="13" t="n">
        <x:f>IF(H11=0,"",E11/H11-1)</x:f>
        <x:v>0.18518518518518512</x:v>
      </x:c>
      <x:c r="L11" s="11" t="str">
        <x:v>IDC_PRELIM</x:v>
      </x:c>
      <x:c r="M11" s="14" t="str">
        <x:v>IDC 25Q4初值，2026-01-13</x:v>
      </x:c>
      <x:c r="N11" s="14" t="str">
        <x:v>https://www.idc.com/resource-center/press-releases/q425mobilephonetop5/</x:v>
      </x:c>
      <x:c r="O11" s="14" t="str">
        <x:v>与IDC公开表一致</x:v>
      </x:c>
      <x:c r="P11" s="13" t="n">
        <x:v>0.183</x:v>
      </x:c>
    </x:row>
    <x:row r="12">
      <x:c r="A12" s="11" t="str">
        <x:v>26Q1</x:v>
      </x:c>
      <x:c r="B12" s="11" t="str">
        <x:v>Samsung</x:v>
      </x:c>
      <x:c r="C12" s="12" t="n">
        <x:v>62.4</x:v>
      </x:c>
      <x:c r="D12" s="12" t="n">
        <x:v>0.4</x:v>
      </x:c>
      <x:c r="E12" s="12" t="n">
        <x:f>C12-D12</x:f>
        <x:v>62</x:v>
      </x:c>
      <x:c r="F12" s="12" t="n">
        <x:v>60.6</x:v>
      </x:c>
      <x:c r="G12" s="12" t="n">
        <x:v>0.5</x:v>
      </x:c>
      <x:c r="H12" s="12" t="n">
        <x:f>F12-G12</x:f>
        <x:v>60.1</x:v>
      </x:c>
      <x:c r="I12" s="13" t="n">
        <x:f>IF(F12=0,"",C12/F12-1)</x:f>
        <x:v>0.02970297029702973</x:v>
      </x:c>
      <x:c r="J12" s="13" t="n">
        <x:f>IF(G12=0,"",D12/G12-1)</x:f>
        <x:v>-0.19999999999999996</x:v>
      </x:c>
      <x:c r="K12" s="13" t="n">
        <x:f>IF(H12=0,"",E12/H12-1)</x:f>
        <x:v>0.03161397670549082</x:v>
      </x:c>
      <x:c r="L12" s="11" t="str">
        <x:v>IDC_FINAL</x:v>
      </x:c>
      <x:c r="M12" s="14" t="str">
        <x:v>IDC 26Q1最终历史数据，2026-05-07</x:v>
      </x:c>
      <x:c r="N12" s="14" t="str">
        <x:v>https://www.idc.com/promo/smartphone-market-share/market-share/</x:v>
      </x:c>
      <x:c r="O12" s="14" t="str">
        <x:v>与IDC公开表一致</x:v>
      </x:c>
      <x:c r="P12" s="13" t="n">
        <x:v>0.028999999999999998</x:v>
      </x:c>
    </x:row>
    <x:row r="13">
      <x:c r="A13" s="11" t="str">
        <x:v>26Q2</x:v>
      </x:c>
      <x:c r="B13" s="11" t="str">
        <x:v>Samsung</x:v>
      </x:c>
      <x:c r="C13" s="12" t="n">
        <x:v>62.7</x:v>
      </x:c>
      <x:c r="D13" s="12" t="n">
        <x:v>0.35</x:v>
      </x:c>
      <x:c r="E13" s="12" t="n">
        <x:f>C13-D13</x:f>
        <x:v>62.35</x:v>
      </x:c>
      <x:c r="F13" s="12" t="n">
        <x:v>58</x:v>
      </x:c>
      <x:c r="G13" s="12" t="n">
        <x:v>0.4</x:v>
      </x:c>
      <x:c r="H13" s="12" t="n">
        <x:f>F13-G13</x:f>
        <x:v>57.6</x:v>
      </x:c>
      <x:c r="I13" s="13" t="n">
        <x:f>IF(F13=0,"",C13/F13-1)</x:f>
        <x:v>0.08103448275862069</x:v>
      </x:c>
      <x:c r="J13" s="13" t="n">
        <x:f>IF(G13=0,"",D13/G13-1)</x:f>
        <x:v>-0.1250000000000001</x:v>
      </x:c>
      <x:c r="K13" s="13" t="n">
        <x:f>IF(H13=0,"",E13/H13-1)</x:f>
        <x:v>0.08246527777777768</x:v>
      </x:c>
      <x:c r="L13" s="11" t="str">
        <x:v>IDC_PRELIM</x:v>
      </x:c>
      <x:c r="M13" s="14" t="str">
        <x:v>IDC 26Q2初值，2026-07-13</x:v>
      </x:c>
      <x:c r="N13" s="14" t="str">
        <x:v>https://www.idc.com/resource-center/press-releases/2q26-mpt-top5/</x:v>
      </x:c>
      <x:c r="O13" s="14" t="str">
        <x:v>与IDC公开表一致</x:v>
      </x:c>
      <x:c r="P13" s="13" t="n">
        <x:v>0.081</x:v>
      </x:c>
    </x:row>
    <x:row r="14">
      <x:c r="A14" s="11" t="str">
        <x:v>25Q1</x:v>
      </x:c>
      <x:c r="B14" s="11" t="str">
        <x:v>Xiaomi</x:v>
      </x:c>
      <x:c r="C14" s="12" t="n">
        <x:v>41.8</x:v>
      </x:c>
      <x:c r="D14" s="12" t="n">
        <x:v>13.34</x:v>
      </x:c>
      <x:c r="E14" s="12" t="n">
        <x:f>C14-D14</x:f>
        <x:v>28.459999999999997</x:v>
      </x:c>
      <x:c r="F14" s="12" t="n">
        <x:v>40.8</x:v>
      </x:c>
      <x:c r="G14" s="12" t="n">
        <x:v>9.54</x:v>
      </x:c>
      <x:c r="H14" s="12" t="n">
        <x:f>F14-G14</x:f>
        <x:v>31.259999999999998</x:v>
      </x:c>
      <x:c r="I14" s="13" t="n">
        <x:f>IF(F14=0,"",C14/F14-1)</x:f>
        <x:v>0.02450980392156854</x:v>
      </x:c>
      <x:c r="J14" s="13" t="n">
        <x:f>IF(G14=0,"",D14/G14-1)</x:f>
        <x:v>0.3983228511530399</x:v>
      </x:c>
      <x:c r="K14" s="13" t="n">
        <x:f>IF(H14=0,"",E14/H14-1)</x:f>
        <x:v>-0.08957133717210497</x:v>
      </x:c>
      <x:c r="L14" s="11" t="str">
        <x:v>IDC_REVISED</x:v>
      </x:c>
      <x:c r="M14" s="14" t="str">
        <x:v>IDC 26Q1最终历史表中回溯重列的25Q1对比值</x:v>
      </x:c>
      <x:c r="N14" s="14" t="str">
        <x:v>https://www.idc.com/promo/smartphone-market-share/market-share/</x:v>
      </x:c>
      <x:c r="O14" s="14" t="str">
        <x:v>与IDC公开表一致</x:v>
      </x:c>
      <x:c r="P14" s="13" t="n">
        <x:f>I14</x:f>
        <x:v>0.02450980392156854</x:v>
      </x:c>
    </x:row>
    <x:row r="15">
      <x:c r="A15" s="11" t="str">
        <x:v>25Q2</x:v>
      </x:c>
      <x:c r="B15" s="11" t="str">
        <x:v>Xiaomi</x:v>
      </x:c>
      <x:c r="C15" s="12" t="n">
        <x:v>42.4</x:v>
      </x:c>
      <x:c r="D15" s="12" t="n">
        <x:v>10.44</x:v>
      </x:c>
      <x:c r="E15" s="12" t="n">
        <x:f>C15-D15</x:f>
        <x:v>31.96</x:v>
      </x:c>
      <x:c r="F15" s="12" t="n">
        <x:v>42.3</x:v>
      </x:c>
      <x:c r="G15" s="12" t="n">
        <x:v>10.09</x:v>
      </x:c>
      <x:c r="H15" s="12" t="n">
        <x:f>F15-G15</x:f>
        <x:v>32.209999999999994</x:v>
      </x:c>
      <x:c r="I15" s="13" t="n">
        <x:f>IF(F15=0,"",C15/F15-1)</x:f>
        <x:v>0.0023640661938535423</x:v>
      </x:c>
      <x:c r="J15" s="13" t="n">
        <x:f>IF(G15=0,"",D15/G15-1)</x:f>
        <x:v>0.03468780971258667</x:v>
      </x:c>
      <x:c r="K15" s="13" t="n">
        <x:f>IF(H15=0,"",E15/H15-1)</x:f>
        <x:v>-0.007761564731449622</x:v>
      </x:c>
      <x:c r="L15" s="11" t="str">
        <x:v>IDC_REVISED</x:v>
      </x:c>
      <x:c r="M15" s="14" t="str">
        <x:v>IDC 26Q2公开表中回溯重列的25Q2对比值</x:v>
      </x:c>
      <x:c r="N15" s="14" t="str">
        <x:v>https://www.idc.com/resource-center/press-releases/2q26-mpt-top5/</x:v>
      </x:c>
      <x:c r="O15" s="14" t="str">
        <x:v>与IDC公开表一致</x:v>
      </x:c>
      <x:c r="P15" s="13" t="n">
        <x:f>I15</x:f>
        <x:v>0.0023640661938535423</x:v>
      </x:c>
    </x:row>
    <x:row r="16">
      <x:c r="A16" s="11" t="str">
        <x:v>25Q3</x:v>
      </x:c>
      <x:c r="B16" s="11" t="str">
        <x:v>Xiaomi</x:v>
      </x:c>
      <x:c r="C16" s="12" t="n">
        <x:v>43.4</x:v>
      </x:c>
      <x:c r="D16" s="12" t="n">
        <x:v>10.05</x:v>
      </x:c>
      <x:c r="E16" s="12" t="n">
        <x:f>C16-D16</x:f>
        <x:v>33.349999999999994</x:v>
      </x:c>
      <x:c r="F16" s="12" t="n">
        <x:v>42.8</x:v>
      </x:c>
      <x:c r="G16" s="12" t="n">
        <x:v>10.21</x:v>
      </x:c>
      <x:c r="H16" s="12" t="n">
        <x:f>F16-G16</x:f>
        <x:v>32.589999999999996</x:v>
      </x:c>
      <x:c r="I16" s="13" t="n">
        <x:f>IF(F16=0,"",C16/F16-1)</x:f>
        <x:v>0.014018691588784993</x:v>
      </x:c>
      <x:c r="J16" s="13" t="n">
        <x:f>IF(G16=0,"",D16/G16-1)</x:f>
        <x:v>-0.015670910871694477</x:v>
      </x:c>
      <x:c r="K16" s="13" t="n">
        <x:f>IF(H16=0,"",E16/H16-1)</x:f>
        <x:v>0.023320036821110612</x:v>
      </x:c>
      <x:c r="L16" s="11" t="str">
        <x:v>IDC_FINAL</x:v>
      </x:c>
      <x:c r="M16" s="14" t="str">
        <x:v>IDC 25Q3历史数据，2025-11-06</x:v>
      </x:c>
      <x:c r="N16" s="14" t="str">
        <x:v>https://www.idc.com/promo/smartphone-market-share/?submit=Search</x:v>
      </x:c>
      <x:c r="O16" s="14" t="str">
        <x:v>与IDC公开表一致</x:v>
      </x:c>
      <x:c r="P16" s="13" t="n">
        <x:v>0.013999999999999999</x:v>
      </x:c>
    </x:row>
    <x:row r="17">
      <x:c r="A17" s="11" t="str">
        <x:v>25Q4</x:v>
      </x:c>
      <x:c r="B17" s="11" t="str">
        <x:v>Xiaomi</x:v>
      </x:c>
      <x:c r="C17" s="12" t="n">
        <x:v>37.8</x:v>
      </x:c>
      <x:c r="D17" s="12" t="n">
        <x:v>10.02</x:v>
      </x:c>
      <x:c r="E17" s="12" t="n">
        <x:f>C17-D17</x:f>
        <x:v>27.779999999999998</x:v>
      </x:c>
      <x:c r="F17" s="12" t="n">
        <x:v>42.7</x:v>
      </x:c>
      <x:c r="G17" s="12" t="n">
        <x:v>12.2</x:v>
      </x:c>
      <x:c r="H17" s="12" t="n">
        <x:f>F17-G17</x:f>
        <x:v>30.500000000000004</x:v>
      </x:c>
      <x:c r="I17" s="13" t="n">
        <x:f>IF(F17=0,"",C17/F17-1)</x:f>
        <x:v>-0.11475409836065587</x:v>
      </x:c>
      <x:c r="J17" s="13" t="n">
        <x:f>IF(G17=0,"",D17/G17-1)</x:f>
        <x:v>-0.17868852459016393</x:v>
      </x:c>
      <x:c r="K17" s="13" t="n">
        <x:f>IF(H17=0,"",E17/H17-1)</x:f>
        <x:v>-0.08918032786885266</x:v>
      </x:c>
      <x:c r="L17" s="11" t="str">
        <x:v>IDC_PRELIM</x:v>
      </x:c>
      <x:c r="M17" s="14" t="str">
        <x:v>IDC 25Q4初值，2026-01-13</x:v>
      </x:c>
      <x:c r="N17" s="14" t="str">
        <x:v>https://www.idc.com/resource-center/press-releases/q425mobilephonetop5/</x:v>
      </x:c>
      <x:c r="O17" s="14" t="str">
        <x:v>与IDC公开表一致</x:v>
      </x:c>
      <x:c r="P17" s="13" t="n">
        <x:v>-0.114</x:v>
      </x:c>
    </x:row>
    <x:row r="18">
      <x:c r="A18" s="11" t="str">
        <x:v>26Q1</x:v>
      </x:c>
      <x:c r="B18" s="11" t="str">
        <x:v>Xiaomi</x:v>
      </x:c>
      <x:c r="C18" s="12" t="n">
        <x:v>33.8</x:v>
      </x:c>
      <x:c r="D18" s="12" t="n">
        <x:v>8.6</x:v>
      </x:c>
      <x:c r="E18" s="12" t="n">
        <x:f>C18-D18</x:f>
        <x:v>25.199999999999996</x:v>
      </x:c>
      <x:c r="F18" s="12" t="n">
        <x:v>41.8</x:v>
      </x:c>
      <x:c r="G18" s="12" t="n">
        <x:v>13.34</x:v>
      </x:c>
      <x:c r="H18" s="12" t="n">
        <x:f>F18-G18</x:f>
        <x:v>28.459999999999997</x:v>
      </x:c>
      <x:c r="I18" s="13" t="n">
        <x:f>IF(F18=0,"",C18/F18-1)</x:f>
        <x:v>-0.19138755980861244</x:v>
      </x:c>
      <x:c r="J18" s="13" t="n">
        <x:f>IF(G18=0,"",D18/G18-1)</x:f>
        <x:v>-0.3553223388305847</x:v>
      </x:c>
      <x:c r="K18" s="13" t="n">
        <x:f>IF(H18=0,"",E18/H18-1)</x:f>
        <x:v>-0.1145467322557977</x:v>
      </x:c>
      <x:c r="L18" s="11" t="str">
        <x:v>IDC_FINAL</x:v>
      </x:c>
      <x:c r="M18" s="14" t="str">
        <x:v>IDC 26Q1最终历史数据，2026-05-07</x:v>
      </x:c>
      <x:c r="N18" s="14" t="str">
        <x:v>https://www.idc.com/promo/smartphone-market-share/market-share/</x:v>
      </x:c>
      <x:c r="O18" s="14" t="str">
        <x:v>与IDC公开表一致</x:v>
      </x:c>
      <x:c r="P18" s="13" t="n">
        <x:v>-0.191</x:v>
      </x:c>
    </x:row>
    <x:row r="19">
      <x:c r="A19" s="11" t="str">
        <x:v>26Q2</x:v>
      </x:c>
      <x:c r="B19" s="11" t="str">
        <x:v>Xiaomi</x:v>
      </x:c>
      <x:c r="C19" s="12" t="n">
        <x:v>31.2</x:v>
      </x:c>
      <x:c r="D19" s="12" t="n">
        <x:v>8.18</x:v>
      </x:c>
      <x:c r="E19" s="12" t="n">
        <x:f>C19-D19</x:f>
        <x:v>23.02</x:v>
      </x:c>
      <x:c r="F19" s="12" t="n">
        <x:v>42.4</x:v>
      </x:c>
      <x:c r="G19" s="12" t="n">
        <x:v>10.44</x:v>
      </x:c>
      <x:c r="H19" s="12" t="n">
        <x:f>F19-G19</x:f>
        <x:v>31.96</x:v>
      </x:c>
      <x:c r="I19" s="13" t="n">
        <x:f>IF(F19=0,"",C19/F19-1)</x:f>
        <x:v>-0.26415094339622636</x:v>
      </x:c>
      <x:c r="J19" s="13" t="n">
        <x:f>IF(G19=0,"",D19/G19-1)</x:f>
        <x:v>-0.21647509578544055</x:v>
      </x:c>
      <x:c r="K19" s="13" t="n">
        <x:f>IF(H19=0,"",E19/H19-1)</x:f>
        <x:v>-0.2797246558197748</x:v>
      </x:c>
      <x:c r="L19" s="11" t="str">
        <x:v>IDC_PRELIM</x:v>
      </x:c>
      <x:c r="M19" s="14" t="str">
        <x:v>IDC 26Q2初值，2026-07-13</x:v>
      </x:c>
      <x:c r="N19" s="14" t="str">
        <x:v>https://www.idc.com/resource-center/press-releases/2q26-mpt-top5/</x:v>
      </x:c>
      <x:c r="O19" s="14" t="str">
        <x:v>与IDC公开表一致</x:v>
      </x:c>
      <x:c r="P19" s="13" t="n">
        <x:v>-0.263</x:v>
      </x:c>
    </x:row>
    <x:row r="20">
      <x:c r="A20" s="11" t="str">
        <x:v>25Q1</x:v>
      </x:c>
      <x:c r="B20" s="11" t="str">
        <x:v>Honor</x:v>
      </x:c>
      <x:c r="C20" s="12" t="n">
        <x:v>16.2</x:v>
      </x:c>
      <x:c r="D20" s="12" t="n">
        <x:v>9.04</x:v>
      </x:c>
      <x:c r="E20" s="12" t="n">
        <x:f>C20-D20</x:f>
        <x:v>7.16</x:v>
      </x:c>
      <x:c r="F20" s="12" t="n">
        <x:v>14</x:v>
      </x:c>
      <x:c r="G20" s="12" t="n">
        <x:v>11.83</x:v>
      </x:c>
      <x:c r="H20" s="12" t="n">
        <x:f>F20-G20</x:f>
        <x:v>2.17</x:v>
      </x:c>
      <x:c r="I20" s="13" t="n">
        <x:f>IF(F20=0,"",C20/F20-1)</x:f>
        <x:v>0.15714285714285703</x:v>
      </x:c>
      <x:c r="J20" s="13" t="n">
        <x:f>IF(G20=0,"",D20/G20-1)</x:f>
        <x:v>-0.23584108199492826</x:v>
      </x:c>
      <x:c r="K20" s="13" t="n">
        <x:f>IF(H20=0,"",E20/H20-1)</x:f>
        <x:v>2.299539170506913</x:v>
      </x:c>
      <x:c r="L20" s="11" t="str">
        <x:v>ESTIMATE</x:v>
      </x:c>
      <x:c r="M20" s="14" t="str">
        <x:v>IDC 26Q1最终历史表中回溯重列的25Q1对比值</x:v>
      </x:c>
      <x:c r="N20" s="14" t="str">
        <x:v>https://www.idc.com/promo/smartphone-market-share/market-share/</x:v>
      </x:c>
      <x:c r="O20" s="14" t="str">
        <x:v>公开信息估算，非IDC直接披露</x:v>
      </x:c>
      <x:c r="P20" s="13" t="n">
        <x:f>I20</x:f>
        <x:v>0.15714285714285703</x:v>
      </x:c>
    </x:row>
    <x:row r="21">
      <x:c r="A21" s="11" t="str">
        <x:v>25Q2</x:v>
      </x:c>
      <x:c r="B21" s="11" t="str">
        <x:v>Honor</x:v>
      </x:c>
      <x:c r="C21" s="12" t="n">
        <x:v>17</x:v>
      </x:c>
      <x:c r="D21" s="12" t="n">
        <x:v>8.21</x:v>
      </x:c>
      <x:c r="E21" s="12" t="n">
        <x:f>C21-D21</x:f>
        <x:v>8.79</x:v>
      </x:c>
      <x:c r="F21" s="12" t="n">
        <x:v>13.5</x:v>
      </x:c>
      <x:c r="G21" s="12" t="n">
        <x:v>10.36</x:v>
      </x:c>
      <x:c r="H21" s="12" t="n">
        <x:f>F21-G21</x:f>
        <x:v>3.1400000000000006</x:v>
      </x:c>
      <x:c r="I21" s="13" t="n">
        <x:f>IF(F21=0,"",C21/F21-1)</x:f>
        <x:v>0.2592592592592593</x:v>
      </x:c>
      <x:c r="J21" s="13" t="n">
        <x:f>IF(G21=0,"",D21/G21-1)</x:f>
        <x:v>-0.2075289575289574</x:v>
      </x:c>
      <x:c r="K21" s="13" t="n">
        <x:f>IF(H21=0,"",E21/H21-1)</x:f>
        <x:v>1.79936305732484</x:v>
      </x:c>
      <x:c r="L21" s="11" t="str">
        <x:v>ESTIMATE</x:v>
      </x:c>
      <x:c r="M21" s="14" t="str">
        <x:v>IDC 26Q2公开表中回溯重列的25Q2对比值</x:v>
      </x:c>
      <x:c r="N21" s="14" t="str">
        <x:v>https://www.idc.com/resource-center/press-releases/2q26-mpt-top5/</x:v>
      </x:c>
      <x:c r="O21" s="14" t="str">
        <x:v>公开信息估算，非IDC直接披露</x:v>
      </x:c>
      <x:c r="P21" s="13" t="n">
        <x:f>I21</x:f>
        <x:v>0.2592592592592593</x:v>
      </x:c>
    </x:row>
    <x:row r="22">
      <x:c r="A22" s="11" t="str">
        <x:v>25Q3</x:v>
      </x:c>
      <x:c r="B22" s="11" t="str">
        <x:v>Honor</x:v>
      </x:c>
      <x:c r="C22" s="12" t="n">
        <x:v>17.5</x:v>
      </x:c>
      <x:c r="D22" s="12" t="n">
        <x:v>9.89</x:v>
      </x:c>
      <x:c r="E22" s="12" t="n">
        <x:f>C22-D22</x:f>
        <x:v>7.609999999999999</x:v>
      </x:c>
      <x:c r="F22" s="12" t="n">
        <x:v>13</x:v>
      </x:c>
      <x:c r="G22" s="12" t="n">
        <x:v>10.04</x:v>
      </x:c>
      <x:c r="H22" s="12" t="n">
        <x:f>F22-G22</x:f>
        <x:v>2.960000000000001</x:v>
      </x:c>
      <x:c r="I22" s="13" t="n">
        <x:f>IF(F22=0,"",C22/F22-1)</x:f>
        <x:v>0.34615384615384626</x:v>
      </x:c>
      <x:c r="J22" s="13" t="n">
        <x:f>IF(G22=0,"",D22/G22-1)</x:f>
        <x:v>-0.014940239043824577</x:v>
      </x:c>
      <x:c r="K22" s="13" t="n">
        <x:f>IF(H22=0,"",E22/H22-1)</x:f>
        <x:v>1.5709459459459452</x:v>
      </x:c>
      <x:c r="L22" s="11" t="str">
        <x:v>ESTIMATE</x:v>
      </x:c>
      <x:c r="M22" s="14" t="str">
        <x:v>IDC 25Q3历史数据，2025-11-06</x:v>
      </x:c>
      <x:c r="N22" s="14" t="str">
        <x:v>https://www.idc.com/promo/smartphone-market-share/?submit=Search</x:v>
      </x:c>
      <x:c r="O22" s="14" t="str">
        <x:v>公开信息估算，非IDC直接披露</x:v>
      </x:c>
      <x:c r="P22" s="13" t="n">
        <x:f>I22</x:f>
        <x:v>0.34615384615384626</x:v>
      </x:c>
    </x:row>
    <x:row r="23">
      <x:c r="A23" s="11" t="str">
        <x:v>25Q4</x:v>
      </x:c>
      <x:c r="B23" s="11" t="str">
        <x:v>Honor</x:v>
      </x:c>
      <x:c r="C23" s="12" t="n">
        <x:v>17</x:v>
      </x:c>
      <x:c r="D23" s="12" t="n">
        <x:v>9.88</x:v>
      </x:c>
      <x:c r="E23" s="12" t="n">
        <x:f>C23-D23</x:f>
        <x:v>7.119999999999999</x:v>
      </x:c>
      <x:c r="F23" s="12" t="n">
        <x:v>13.5</x:v>
      </x:c>
      <x:c r="G23" s="12" t="n">
        <x:v>10.54</x:v>
      </x:c>
      <x:c r="H23" s="12" t="n">
        <x:f>F23-G23</x:f>
        <x:v>2.960000000000001</x:v>
      </x:c>
      <x:c r="I23" s="13" t="n">
        <x:f>IF(F23=0,"",C23/F23-1)</x:f>
        <x:v>0.2592592592592593</x:v>
      </x:c>
      <x:c r="J23" s="13" t="n">
        <x:f>IF(G23=0,"",D23/G23-1)</x:f>
        <x:v>-0.06261859582542684</x:v>
      </x:c>
      <x:c r="K23" s="13" t="n">
        <x:f>IF(H23=0,"",E23/H23-1)</x:f>
        <x:v>1.4054054054054044</x:v>
      </x:c>
      <x:c r="L23" s="11" t="str">
        <x:v>ESTIMATE</x:v>
      </x:c>
      <x:c r="M23" s="14" t="str">
        <x:v>IDC 25Q4初值，2026-01-13</x:v>
      </x:c>
      <x:c r="N23" s="14" t="str">
        <x:v>https://www.idc.com/resource-center/press-releases/q425mobilephonetop5/</x:v>
      </x:c>
      <x:c r="O23" s="14" t="str">
        <x:v>公开信息估算，非IDC直接披露</x:v>
      </x:c>
      <x:c r="P23" s="13" t="n">
        <x:f>I23</x:f>
        <x:v>0.2592592592592593</x:v>
      </x:c>
    </x:row>
    <x:row r="24">
      <x:c r="A24" s="11" t="str">
        <x:v>26Q1</x:v>
      </x:c>
      <x:c r="B24" s="11" t="str">
        <x:v>Honor</x:v>
      </x:c>
      <x:c r="C24" s="12" t="n">
        <x:v>20.2</x:v>
      </x:c>
      <x:c r="D24" s="12" t="n">
        <x:v>8.86</x:v>
      </x:c>
      <x:c r="E24" s="12" t="n">
        <x:f>C24-D24</x:f>
        <x:v>11.34</x:v>
      </x:c>
      <x:c r="F24" s="12" t="n">
        <x:v>16.2</x:v>
      </x:c>
      <x:c r="G24" s="12" t="n">
        <x:v>9.04</x:v>
      </x:c>
      <x:c r="H24" s="12" t="n">
        <x:f>F24-G24</x:f>
        <x:v>7.16</x:v>
      </x:c>
      <x:c r="I24" s="13" t="n">
        <x:f>IF(F24=0,"",C24/F24-1)</x:f>
        <x:v>0.24691358024691357</x:v>
      </x:c>
      <x:c r="J24" s="13" t="n">
        <x:f>IF(G24=0,"",D24/G24-1)</x:f>
        <x:v>-0.019911504424778736</x:v>
      </x:c>
      <x:c r="K24" s="13" t="n">
        <x:f>IF(H24=0,"",E24/H24-1)</x:f>
        <x:v>0.5837988826815641</x:v>
      </x:c>
      <x:c r="L24" s="11" t="str">
        <x:v>IDC_YOY_DERIVED</x:v>
      </x:c>
      <x:c r="M24" s="14" t="str">
        <x:v>IDC 26Q1最终历史数据，2026-05-07</x:v>
      </x:c>
      <x:c r="N24" s="14" t="str">
        <x:v>https://www.idc.com/promo/smartphone-market-share/market-share/</x:v>
      </x:c>
      <x:c r="O24" s="14" t="str">
        <x:v>IDC官方同比反推，非直接绝对量</x:v>
      </x:c>
      <x:c r="P24" s="13" t="n">
        <x:f>I24</x:f>
        <x:v>0.24691358024691357</x:v>
      </x:c>
    </x:row>
    <x:row r="25">
      <x:c r="A25" s="11" t="str">
        <x:v>26Q2</x:v>
      </x:c>
      <x:c r="B25" s="11" t="str">
        <x:v>Honor</x:v>
      </x:c>
      <x:c r="C25" s="12" t="n">
        <x:v>19.5</x:v>
      </x:c>
      <x:c r="D25" s="12" t="n">
        <x:v>7.43</x:v>
      </x:c>
      <x:c r="E25" s="12" t="n">
        <x:f>C25-D25</x:f>
        <x:v>12.07</x:v>
      </x:c>
      <x:c r="F25" s="12" t="n">
        <x:v>17</x:v>
      </x:c>
      <x:c r="G25" s="12" t="n">
        <x:v>8.21</x:v>
      </x:c>
      <x:c r="H25" s="12" t="n">
        <x:f>F25-G25</x:f>
        <x:v>8.79</x:v>
      </x:c>
      <x:c r="I25" s="13" t="n">
        <x:f>IF(F25=0,"",C25/F25-1)</x:f>
        <x:v>0.1470588235294117</x:v>
      </x:c>
      <x:c r="J25" s="13" t="n">
        <x:f>IF(G25=0,"",D25/G25-1)</x:f>
        <x:v>-0.09500609013398309</x:v>
      </x:c>
      <x:c r="K25" s="13" t="n">
        <x:f>IF(H25=0,"",E25/H25-1)</x:f>
        <x:v>0.37315130830489207</x:v>
      </x:c>
      <x:c r="L25" s="11" t="str">
        <x:v>ESTIMATE</x:v>
      </x:c>
      <x:c r="M25" s="14" t="str">
        <x:v>IDC 26Q2初值，2026-07-13</x:v>
      </x:c>
      <x:c r="N25" s="14" t="str">
        <x:v>https://www.idc.com/resource-center/press-releases/2q26-mpt-top5/</x:v>
      </x:c>
      <x:c r="O25" s="14" t="str">
        <x:v>公开信息估算，非IDC直接披露</x:v>
      </x:c>
      <x:c r="P25" s="13" t="n">
        <x:f>I25</x:f>
        <x:v>0.1470588235294117</x:v>
      </x:c>
    </x:row>
    <x:row r="26">
      <x:c r="A26" s="11" t="str">
        <x:v>25Q1</x:v>
      </x:c>
      <x:c r="B26" s="11" t="str">
        <x:v>vivo</x:v>
      </x:c>
      <x:c r="C26" s="12" t="n">
        <x:v>22.7</x:v>
      </x:c>
      <x:c r="D26" s="12" t="n">
        <x:v>10.34</x:v>
      </x:c>
      <x:c r="E26" s="12" t="n">
        <x:f>C26-D26</x:f>
        <x:v>12.36</x:v>
      </x:c>
      <x:c r="F26" s="12" t="n">
        <x:v>21.3</x:v>
      </x:c>
      <x:c r="G26" s="12" t="n">
        <x:v>10.11</x:v>
      </x:c>
      <x:c r="H26" s="12" t="n">
        <x:f>F26-G26</x:f>
        <x:v>11.190000000000001</x:v>
      </x:c>
      <x:c r="I26" s="13" t="n">
        <x:f>IF(F26=0,"",C26/F26-1)</x:f>
        <x:v>0.06572769953051627</x:v>
      </x:c>
      <x:c r="J26" s="13" t="n">
        <x:f>IF(G26=0,"",D26/G26-1)</x:f>
        <x:v>0.022749752720079064</x:v>
      </x:c>
      <x:c r="K26" s="13" t="n">
        <x:f>IF(H26=0,"",E26/H26-1)</x:f>
        <x:v>0.10455764075067009</x:v>
      </x:c>
      <x:c r="L26" s="11" t="str">
        <x:v>IDC_REVISED</x:v>
      </x:c>
      <x:c r="M26" s="14" t="str">
        <x:v>IDC 26Q1最终历史表中回溯重列的25Q1对比值</x:v>
      </x:c>
      <x:c r="N26" s="14" t="str">
        <x:v>https://www.idc.com/promo/smartphone-market-share/market-share/</x:v>
      </x:c>
      <x:c r="O26" s="14" t="str">
        <x:v>与IDC公开表一致</x:v>
      </x:c>
      <x:c r="P26" s="13" t="n">
        <x:f>I26</x:f>
        <x:v>0.06572769953051627</x:v>
      </x:c>
    </x:row>
    <x:row r="27">
      <x:c r="A27" s="11" t="str">
        <x:v>25Q2</x:v>
      </x:c>
      <x:c r="B27" s="11" t="str">
        <x:v>vivo</x:v>
      </x:c>
      <x:c r="C27" s="12" t="n">
        <x:v>26.3</x:v>
      </x:c>
      <x:c r="D27" s="12" t="n">
        <x:v>11.92</x:v>
      </x:c>
      <x:c r="E27" s="12" t="n">
        <x:f>C27-D27</x:f>
        <x:v>14.38</x:v>
      </x:c>
      <x:c r="F27" s="12" t="n">
        <x:v>25.9</x:v>
      </x:c>
      <x:c r="G27" s="12" t="n">
        <x:v>13.26</x:v>
      </x:c>
      <x:c r="H27" s="12" t="n">
        <x:f>F27-G27</x:f>
        <x:v>12.639999999999999</x:v>
      </x:c>
      <x:c r="I27" s="13" t="n">
        <x:f>IF(F27=0,"",C27/F27-1)</x:f>
        <x:v>0.015444015444015635</x:v>
      </x:c>
      <x:c r="J27" s="13" t="n">
        <x:f>IF(G27=0,"",D27/G27-1)</x:f>
        <x:v>-0.10105580693815985</x:v>
      </x:c>
      <x:c r="K27" s="13" t="n">
        <x:f>IF(H27=0,"",E27/H27-1)</x:f>
        <x:v>0.13765822784810133</x:v>
      </x:c>
      <x:c r="L27" s="11" t="str">
        <x:v>IDC_REVISED</x:v>
      </x:c>
      <x:c r="M27" s="14" t="str">
        <x:v>IDC 26Q2公开表中回溯重列的25Q2对比值</x:v>
      </x:c>
      <x:c r="N27" s="14" t="str">
        <x:v>https://www.idc.com/resource-center/press-releases/2q26-mpt-top5/</x:v>
      </x:c>
      <x:c r="O27" s="14" t="str">
        <x:v>与IDC公开表一致</x:v>
      </x:c>
      <x:c r="P27" s="13" t="n">
        <x:f>I27</x:f>
        <x:v>0.015444015444015635</x:v>
      </x:c>
    </x:row>
    <x:row r="28">
      <x:c r="A28" s="11" t="str">
        <x:v>25Q3</x:v>
      </x:c>
      <x:c r="B28" s="11" t="str">
        <x:v>vivo</x:v>
      </x:c>
      <x:c r="C28" s="12" t="n">
        <x:v>27.9</x:v>
      </x:c>
      <x:c r="D28" s="12" t="n">
        <x:v>11.81</x:v>
      </x:c>
      <x:c r="E28" s="12" t="n">
        <x:f>C28-D28</x:f>
        <x:v>16.089999999999996</x:v>
      </x:c>
      <x:c r="F28" s="12" t="n">
        <x:v>27</x:v>
      </x:c>
      <x:c r="G28" s="12" t="n">
        <x:v>12.81</x:v>
      </x:c>
      <x:c r="H28" s="12" t="n">
        <x:f>F28-G28</x:f>
        <x:v>14.19</x:v>
      </x:c>
      <x:c r="I28" s="13" t="n">
        <x:f>IF(F28=0,"",C28/F28-1)</x:f>
        <x:v>0.033333333333333215</x:v>
      </x:c>
      <x:c r="J28" s="13" t="n">
        <x:f>IF(G28=0,"",D28/G28-1)</x:f>
        <x:v>-0.07806401249024197</x:v>
      </x:c>
      <x:c r="K28" s="13" t="n">
        <x:f>IF(H28=0,"",E28/H28-1)</x:f>
        <x:v>0.1338971106412965</x:v>
      </x:c>
      <x:c r="L28" s="11" t="str">
        <x:v>IDC_FINAL</x:v>
      </x:c>
      <x:c r="M28" s="14" t="str">
        <x:v>IDC 25Q3历史数据，2025-11-06</x:v>
      </x:c>
      <x:c r="N28" s="14" t="str">
        <x:v>https://www.idc.com/promo/smartphone-market-share/?submit=Search</x:v>
      </x:c>
      <x:c r="O28" s="14" t="str">
        <x:v>与IDC公开表一致</x:v>
      </x:c>
      <x:c r="P28" s="13" t="n">
        <x:v>0.034</x:v>
      </x:c>
    </x:row>
    <x:row r="29">
      <x:c r="A29" s="11" t="str">
        <x:v>25Q4</x:v>
      </x:c>
      <x:c r="B29" s="11" t="str">
        <x:v>vivo</x:v>
      </x:c>
      <x:c r="C29" s="12" t="n">
        <x:v>27</x:v>
      </x:c>
      <x:c r="D29" s="12" t="n">
        <x:v>12.03</x:v>
      </x:c>
      <x:c r="E29" s="12" t="n">
        <x:f>C29-D29</x:f>
        <x:v>14.97</x:v>
      </x:c>
      <x:c r="F29" s="12" t="n">
        <x:v>27.1</x:v>
      </x:c>
      <x:c r="G29" s="12" t="n">
        <x:v>13.16</x:v>
      </x:c>
      <x:c r="H29" s="12" t="n">
        <x:f>F29-G29</x:f>
        <x:v>13.940000000000001</x:v>
      </x:c>
      <x:c r="I29" s="13" t="n">
        <x:f>IF(F29=0,"",C29/F29-1)</x:f>
        <x:v>-0.0036900369003690647</x:v>
      </x:c>
      <x:c r="J29" s="13" t="n">
        <x:f>IF(G29=0,"",D29/G29-1)</x:f>
        <x:v>-0.08586626139817632</x:v>
      </x:c>
      <x:c r="K29" s="13" t="n">
        <x:f>IF(H29=0,"",E29/H29-1)</x:f>
        <x:v>0.07388809182209455</x:v>
      </x:c>
      <x:c r="L29" s="11" t="str">
        <x:v>IDC_PRELIM</x:v>
      </x:c>
      <x:c r="M29" s="14" t="str">
        <x:v>IDC 25Q4初值，2026-01-13</x:v>
      </x:c>
      <x:c r="N29" s="14" t="str">
        <x:v>https://www.idc.com/resource-center/press-releases/q425mobilephonetop5/</x:v>
      </x:c>
      <x:c r="O29" s="14" t="str">
        <x:v>与IDC公开表一致</x:v>
      </x:c>
      <x:c r="P29" s="13" t="n">
        <x:v>-0.004</x:v>
      </x:c>
    </x:row>
    <x:row r="30">
      <x:c r="A30" s="11" t="str">
        <x:v>26Q1</x:v>
      </x:c>
      <x:c r="B30" s="11" t="str">
        <x:v>vivo</x:v>
      </x:c>
      <x:c r="C30" s="12" t="n">
        <x:v>21.2</x:v>
      </x:c>
      <x:c r="D30" s="12" t="n">
        <x:v>10.46</x:v>
      </x:c>
      <x:c r="E30" s="12" t="n">
        <x:f>C30-D30</x:f>
        <x:v>10.739999999999998</x:v>
      </x:c>
      <x:c r="F30" s="12" t="n">
        <x:v>22.7</x:v>
      </x:c>
      <x:c r="G30" s="12" t="n">
        <x:v>10.34</x:v>
      </x:c>
      <x:c r="H30" s="12" t="n">
        <x:f>F30-G30</x:f>
        <x:v>12.36</x:v>
      </x:c>
      <x:c r="I30" s="13" t="n">
        <x:f>IF(F30=0,"",C30/F30-1)</x:f>
        <x:v>-0.06607929515418498</x:v>
      </x:c>
      <x:c r="J30" s="13" t="n">
        <x:f>IF(G30=0,"",D30/G30-1)</x:f>
        <x:v>0.011605415860735047</x:v>
      </x:c>
      <x:c r="K30" s="13" t="n">
        <x:f>IF(H30=0,"",E30/H30-1)</x:f>
        <x:v>-0.1310679611650486</x:v>
      </x:c>
      <x:c r="L30" s="11" t="str">
        <x:v>IDC_FINAL</x:v>
      </x:c>
      <x:c r="M30" s="14" t="str">
        <x:v>IDC 26Q1最终历史数据，2026-05-07</x:v>
      </x:c>
      <x:c r="N30" s="14" t="str">
        <x:v>https://www.idc.com/promo/smartphone-market-share/market-share/</x:v>
      </x:c>
      <x:c r="O30" s="14" t="str">
        <x:v>与IDC公开表一致</x:v>
      </x:c>
      <x:c r="P30" s="13" t="n">
        <x:v>-0.069</x:v>
      </x:c>
    </x:row>
    <x:row r="31">
      <x:c r="A31" s="11" t="str">
        <x:v>26Q2</x:v>
      </x:c>
      <x:c r="B31" s="11" t="str">
        <x:v>vivo</x:v>
      </x:c>
      <x:c r="C31" s="12" t="n">
        <x:v>21.2</x:v>
      </x:c>
      <x:c r="D31" s="12" t="n">
        <x:v>10.57</x:v>
      </x:c>
      <x:c r="E31" s="12" t="n">
        <x:f>C31-D31</x:f>
        <x:v>10.629999999999999</x:v>
      </x:c>
      <x:c r="F31" s="12" t="n">
        <x:v>26.3</x:v>
      </x:c>
      <x:c r="G31" s="12" t="n">
        <x:v>11.92</x:v>
      </x:c>
      <x:c r="H31" s="12" t="n">
        <x:f>F31-G31</x:f>
        <x:v>14.38</x:v>
      </x:c>
      <x:c r="I31" s="13" t="n">
        <x:f>IF(F31=0,"",C31/F31-1)</x:f>
        <x:v>-0.19391634980988603</x:v>
      </x:c>
      <x:c r="J31" s="13" t="n">
        <x:f>IF(G31=0,"",D31/G31-1)</x:f>
        <x:v>-0.11325503355704691</x:v>
      </x:c>
      <x:c r="K31" s="13" t="n">
        <x:f>IF(H31=0,"",E31/H31-1)</x:f>
        <x:v>-0.2607788595271211</x:v>
      </x:c>
      <x:c r="L31" s="11" t="str">
        <x:v>IDC_PRELIM</x:v>
      </x:c>
      <x:c r="M31" s="14" t="str">
        <x:v>IDC 26Q2初值，2026-07-13</x:v>
      </x:c>
      <x:c r="N31" s="14" t="str">
        <x:v>https://www.idc.com/resource-center/press-releases/2q26-mpt-top5/</x:v>
      </x:c>
      <x:c r="O31" s="14" t="str">
        <x:v>与IDC公开表一致</x:v>
      </x:c>
      <x:c r="P31" s="13" t="n">
        <x:v>-0.19399999999999998</x:v>
      </x:c>
    </x:row>
    <x:row r="32">
      <x:c r="A32" s="11" t="str">
        <x:v>25Q1</x:v>
      </x:c>
      <x:c r="B32" s="11" t="str">
        <x:v>OPPO</x:v>
      </x:c>
      <x:c r="C32" s="12" t="n">
        <x:v>34.1</x:v>
      </x:c>
      <x:c r="D32" s="12" t="n">
        <x:v>11.99</x:v>
      </x:c>
      <x:c r="E32" s="12" t="n">
        <x:f>C32-D32</x:f>
        <x:v>22.11</x:v>
      </x:c>
      <x:c r="F32" s="12" t="n">
        <x:v>25.2</x:v>
      </x:c>
      <x:c r="G32" s="12" t="n">
        <x:v>11.7</x:v>
      </x:c>
      <x:c r="H32" s="12" t="n">
        <x:f>F32-G32</x:f>
        <x:v>13.5</x:v>
      </x:c>
      <x:c r="I32" s="13" t="n">
        <x:f>IF(F32=0,"",C32/F32-1)</x:f>
        <x:v>0.35317460317460325</x:v>
      </x:c>
      <x:c r="J32" s="13" t="n">
        <x:f>IF(G32=0,"",D32/G32-1)</x:f>
        <x:v>0.02478632478632492</x:v>
      </x:c>
      <x:c r="K32" s="13" t="n">
        <x:f>IF(H32=0,"",E32/H32-1)</x:f>
        <x:v>0.6377777777777778</x:v>
      </x:c>
      <x:c r="L32" s="11" t="str">
        <x:v>IDC_REVISED</x:v>
      </x:c>
      <x:c r="M32" s="14" t="str">
        <x:v>IDC 26Q1最终历史表中回溯重列的25Q1对比值</x:v>
      </x:c>
      <x:c r="N32" s="14" t="str">
        <x:v>https://www.idc.com/promo/smartphone-market-share/market-share/</x:v>
      </x:c>
      <x:c r="O32" s="14" t="str">
        <x:v>与IDC公开表一致</x:v>
      </x:c>
      <x:c r="P32" s="13" t="n">
        <x:f>I32</x:f>
        <x:v>0.35317460317460325</x:v>
      </x:c>
    </x:row>
    <x:row r="33">
      <x:c r="A33" s="11" t="str">
        <x:v>25Q2</x:v>
      </x:c>
      <x:c r="B33" s="11" t="str">
        <x:v>OPPO</x:v>
      </x:c>
      <x:c r="C33" s="12" t="n">
        <x:v>34.9</x:v>
      </x:c>
      <x:c r="D33" s="12" t="n">
        <x:v>11.73</x:v>
      </x:c>
      <x:c r="E33" s="12" t="n">
        <x:f>C33-D33</x:f>
        <x:v>23.169999999999998</x:v>
      </x:c>
      <x:c r="F33" s="12" t="n">
        <x:v>28.2</x:v>
      </x:c>
      <x:c r="G33" s="12" t="n">
        <x:v>12.17</x:v>
      </x:c>
      <x:c r="H33" s="12" t="n">
        <x:f>F33-G33</x:f>
        <x:v>16.03</x:v>
      </x:c>
      <x:c r="I33" s="13" t="n">
        <x:f>IF(F33=0,"",C33/F33-1)</x:f>
        <x:v>0.23758865248226946</x:v>
      </x:c>
      <x:c r="J33" s="13" t="n">
        <x:f>IF(G33=0,"",D33/G33-1)</x:f>
        <x:v>-0.03615447822514373</x:v>
      </x:c>
      <x:c r="K33" s="13" t="n">
        <x:f>IF(H33=0,"",E33/H33-1)</x:f>
        <x:v>0.44541484716157176</x:v>
      </x:c>
      <x:c r="L33" s="11" t="str">
        <x:v>IDC_REVISED</x:v>
      </x:c>
      <x:c r="M33" s="14" t="str">
        <x:v>IDC 26Q2公开表中回溯重列的25Q2对比值</x:v>
      </x:c>
      <x:c r="N33" s="14" t="str">
        <x:v>https://www.idc.com/resource-center/press-releases/2q26-mpt-top5/</x:v>
      </x:c>
      <x:c r="O33" s="14" t="str">
        <x:v>与IDC公开表一致</x:v>
      </x:c>
      <x:c r="P33" s="13" t="n">
        <x:f>I33</x:f>
        <x:v>0.23758865248226946</x:v>
      </x:c>
    </x:row>
    <x:row r="34">
      <x:c r="A34" s="11" t="str">
        <x:v>25Q3</x:v>
      </x:c>
      <x:c r="B34" s="11" t="str">
        <x:v>OPPO</x:v>
      </x:c>
      <x:c r="C34" s="12" t="n">
        <x:v>26.5</x:v>
      </x:c>
      <x:c r="D34" s="12" t="n">
        <x:v>10.86</x:v>
      </x:c>
      <x:c r="E34" s="12" t="n">
        <x:f>C34-D34</x:f>
        <x:v>15.64</x:v>
      </x:c>
      <x:c r="F34" s="12" t="n">
        <x:v>26</x:v>
      </x:c>
      <x:c r="G34" s="12" t="n">
        <x:v>10.77</x:v>
      </x:c>
      <x:c r="H34" s="12" t="n">
        <x:f>F34-G34</x:f>
        <x:v>15.23</x:v>
      </x:c>
      <x:c r="I34" s="13" t="n">
        <x:f>IF(F34=0,"",C34/F34-1)</x:f>
        <x:v>0.019230769230769162</x:v>
      </x:c>
      <x:c r="J34" s="13" t="n">
        <x:f>IF(G34=0,"",D34/G34-1)</x:f>
        <x:v>0.008356545961002881</x:v>
      </x:c>
      <x:c r="K34" s="13" t="n">
        <x:f>IF(H34=0,"",E34/H34-1)</x:f>
        <x:v>0.02692055154300732</x:v>
      </x:c>
      <x:c r="L34" s="11" t="str">
        <x:v>IDC_OLD_SCOPE</x:v>
      </x:c>
      <x:c r="M34" s="14" t="str">
        <x:v>IDC 25Q3历史数据，2025-11-06</x:v>
      </x:c>
      <x:c r="N34" s="14" t="str">
        <x:v>https://www.idc.com/promo/smartphone-market-share/?submit=Search</x:v>
      </x:c>
      <x:c r="O34" s="14" t="str">
        <x:v>旧口径/非当前Top 5，无法用当前公开表复核</x:v>
      </x:c>
      <x:c r="P34" s="13" t="n">
        <x:f>I34</x:f>
        <x:v>0.019230769230769162</x:v>
      </x:c>
    </x:row>
    <x:row r="35">
      <x:c r="A35" s="11" t="str">
        <x:v>25Q4</x:v>
      </x:c>
      <x:c r="B35" s="11" t="str">
        <x:v>OPPO</x:v>
      </x:c>
      <x:c r="C35" s="12" t="n">
        <x:v>26.9</x:v>
      </x:c>
      <x:c r="D35" s="12" t="n">
        <x:v>12.56</x:v>
      </x:c>
      <x:c r="E35" s="12" t="n">
        <x:f>C35-D35</x:f>
        <x:v>14.339999999999998</x:v>
      </x:c>
      <x:c r="F35" s="12" t="n">
        <x:v>25</x:v>
      </x:c>
      <x:c r="G35" s="12" t="n">
        <x:v>11.39</x:v>
      </x:c>
      <x:c r="H35" s="12" t="n">
        <x:f>F35-G35</x:f>
        <x:v>13.61</x:v>
      </x:c>
      <x:c r="I35" s="13" t="n">
        <x:f>IF(F35=0,"",C35/F35-1)</x:f>
        <x:v>0.07599999999999985</x:v>
      </x:c>
      <x:c r="J35" s="13" t="n">
        <x:f>IF(G35=0,"",D35/G35-1)</x:f>
        <x:v>0.10272168568920104</x:v>
      </x:c>
      <x:c r="K35" s="13" t="n">
        <x:f>IF(H35=0,"",E35/H35-1)</x:f>
        <x:v>0.053637031594415685</x:v>
      </x:c>
      <x:c r="L35" s="11" t="str">
        <x:v>IDC_OLD_SCOPE</x:v>
      </x:c>
      <x:c r="M35" s="14" t="str">
        <x:v>IDC 25Q4初值，2026-01-13</x:v>
      </x:c>
      <x:c r="N35" s="14" t="str">
        <x:v>https://www.idc.com/resource-center/press-releases/q425mobilephonetop5/</x:v>
      </x:c>
      <x:c r="O35" s="14" t="str">
        <x:v>与IDC公开表一致</x:v>
      </x:c>
      <x:c r="P35" s="13" t="n">
        <x:v>0.076</x:v>
      </x:c>
    </x:row>
    <x:row r="36">
      <x:c r="A36" s="11" t="str">
        <x:v>26Q1</x:v>
      </x:c>
      <x:c r="B36" s="11" t="str">
        <x:v>OPPO</x:v>
      </x:c>
      <x:c r="C36" s="12" t="n">
        <x:v>30.7</x:v>
      </x:c>
      <x:c r="D36" s="12" t="n">
        <x:v>11.01</x:v>
      </x:c>
      <x:c r="E36" s="12" t="n">
        <x:f>C36-D36</x:f>
        <x:v>19.689999999999998</x:v>
      </x:c>
      <x:c r="F36" s="12" t="n">
        <x:v>34.1</x:v>
      </x:c>
      <x:c r="G36" s="12" t="n">
        <x:v>11.99</x:v>
      </x:c>
      <x:c r="H36" s="12" t="n">
        <x:f>F36-G36</x:f>
        <x:v>22.11</x:v>
      </x:c>
      <x:c r="I36" s="13" t="n">
        <x:f>IF(F36=0,"",C36/F36-1)</x:f>
        <x:v>-0.09970674486803521</x:v>
      </x:c>
      <x:c r="J36" s="13" t="n">
        <x:f>IF(G36=0,"",D36/G36-1)</x:f>
        <x:v>-0.08173477898248549</x:v>
      </x:c>
      <x:c r="K36" s="13" t="n">
        <x:f>IF(H36=0,"",E36/H36-1)</x:f>
        <x:v>-0.10945273631840802</x:v>
      </x:c>
      <x:c r="L36" s="11" t="str">
        <x:v>IDC_FINAL</x:v>
      </x:c>
      <x:c r="M36" s="14" t="str">
        <x:v>IDC 26Q1最终历史数据，2026-05-07</x:v>
      </x:c>
      <x:c r="N36" s="14" t="str">
        <x:v>https://www.idc.com/promo/smartphone-market-share/market-share/</x:v>
      </x:c>
      <x:c r="O36" s="14" t="str">
        <x:v>与IDC公开表一致</x:v>
      </x:c>
      <x:c r="P36" s="13" t="n">
        <x:v>-0.099</x:v>
      </x:c>
    </x:row>
    <x:row r="37">
      <x:c r="A37" s="11" t="str">
        <x:v>26Q2</x:v>
      </x:c>
      <x:c r="B37" s="11" t="str">
        <x:v>OPPO</x:v>
      </x:c>
      <x:c r="C37" s="12" t="n">
        <x:v>28.8</x:v>
      </x:c>
      <x:c r="D37" s="12" t="n">
        <x:v>10.59</x:v>
      </x:c>
      <x:c r="E37" s="12" t="n">
        <x:f>C37-D37</x:f>
        <x:v>18.21</x:v>
      </x:c>
      <x:c r="F37" s="12" t="n">
        <x:v>34.9</x:v>
      </x:c>
      <x:c r="G37" s="12" t="n">
        <x:v>11.73</x:v>
      </x:c>
      <x:c r="H37" s="12" t="n">
        <x:f>F37-G37</x:f>
        <x:v>23.169999999999998</x:v>
      </x:c>
      <x:c r="I37" s="13" t="n">
        <x:f>IF(F37=0,"",C37/F37-1)</x:f>
        <x:v>-0.17478510028653294</x:v>
      </x:c>
      <x:c r="J37" s="13" t="n">
        <x:f>IF(G37=0,"",D37/G37-1)</x:f>
        <x:v>-0.09718670076726343</x:v>
      </x:c>
      <x:c r="K37" s="13" t="n">
        <x:f>IF(H37=0,"",E37/H37-1)</x:f>
        <x:v>-0.21406991799741037</x:v>
      </x:c>
      <x:c r="L37" s="11" t="str">
        <x:v>IDC_PRELIM</x:v>
      </x:c>
      <x:c r="M37" s="14" t="str">
        <x:v>IDC 26Q2初值，2026-07-13</x:v>
      </x:c>
      <x:c r="N37" s="14" t="str">
        <x:v>https://www.idc.com/resource-center/press-releases/2q26-mpt-top5/</x:v>
      </x:c>
      <x:c r="O37" s="14" t="str">
        <x:v>与IDC公开表一致</x:v>
      </x:c>
      <x:c r="P37" s="13" t="n">
        <x:v>-0.175</x:v>
      </x:c>
    </x:row>
    <x:row r="38">
      <x:c r="A38" s="11" t="str">
        <x:v>25Q1</x:v>
      </x:c>
      <x:c r="B38" s="11" t="str">
        <x:v>Huawei</x:v>
      </x:c>
      <x:c r="C38" s="12" t="n">
        <x:v>16.4</x:v>
      </x:c>
      <x:c r="D38" s="12" t="n">
        <x:v>15.02</x:v>
      </x:c>
      <x:c r="E38" s="12" t="n">
        <x:f>C38-D38</x:f>
        <x:v>1.379999999999999</x:v>
      </x:c>
      <x:c r="F38" s="12" t="n">
        <x:v>14.9</x:v>
      </x:c>
      <x:c r="G38" s="12" t="n">
        <x:v>13.52</x:v>
      </x:c>
      <x:c r="H38" s="12" t="n">
        <x:f>F38-G38</x:f>
        <x:v>1.3800000000000008</x:v>
      </x:c>
      <x:c r="I38" s="13" t="n">
        <x:f>IF(F38=0,"",C38/F38-1)</x:f>
        <x:v>0.10067114093959728</x:v>
      </x:c>
      <x:c r="J38" s="13" t="n">
        <x:f>IF(G38=0,"",D38/G38-1)</x:f>
        <x:v>0.11094674556213024</x:v>
      </x:c>
      <x:c r="K38" s="13" t="n">
        <x:f>IF(H38=0,"",E38/H38-1)</x:f>
        <x:v>-1.3322676295501878e-15</x:v>
      </x:c>
      <x:c r="L38" s="11" t="str">
        <x:v>ESTIMATE</x:v>
      </x:c>
      <x:c r="M38" s="14" t="str">
        <x:v>IDC 26Q1最终历史表中回溯重列的25Q1对比值</x:v>
      </x:c>
      <x:c r="N38" s="14" t="str">
        <x:v>https://www.idc.com/promo/smartphone-market-share/market-share/</x:v>
      </x:c>
      <x:c r="O38" s="14" t="str">
        <x:v>公开信息估算，非IDC直接披露</x:v>
      </x:c>
      <x:c r="P38" s="13" t="n">
        <x:f>I38</x:f>
        <x:v>0.10067114093959728</x:v>
      </x:c>
    </x:row>
    <x:row r="39">
      <x:c r="A39" s="11" t="str">
        <x:v>25Q2</x:v>
      </x:c>
      <x:c r="B39" s="11" t="str">
        <x:v>Huawei</x:v>
      </x:c>
      <x:c r="C39" s="12" t="n">
        <x:v>16.3</x:v>
      </x:c>
      <x:c r="D39" s="12" t="n">
        <x:v>14.9</x:v>
      </x:c>
      <x:c r="E39" s="12" t="n">
        <x:f>C39-D39</x:f>
        <x:v>1.4000000000000004</x:v>
      </x:c>
      <x:c r="F39" s="12" t="n">
        <x:v>16.2</x:v>
      </x:c>
      <x:c r="G39" s="12" t="n">
        <x:v>14.8</x:v>
      </x:c>
      <x:c r="H39" s="12" t="n">
        <x:f>F39-G39</x:f>
        <x:v>1.3999999999999986</x:v>
      </x:c>
      <x:c r="I39" s="13" t="n">
        <x:f>IF(F39=0,"",C39/F39-1)</x:f>
        <x:v>0.006172839506172867</x:v>
      </x:c>
      <x:c r="J39" s="13" t="n">
        <x:f>IF(G39=0,"",D39/G39-1)</x:f>
        <x:v>0.006756756756756799</x:v>
      </x:c>
      <x:c r="K39" s="13" t="n">
        <x:f>IF(H39=0,"",E39/H39-1)</x:f>
        <x:v>1.3322676295501878e-15</x:v>
      </x:c>
      <x:c r="L39" s="11" t="str">
        <x:v>ESTIMATE</x:v>
      </x:c>
      <x:c r="M39" s="14" t="str">
        <x:v>IDC 26Q2公开表中回溯重列的25Q2对比值</x:v>
      </x:c>
      <x:c r="N39" s="14" t="str">
        <x:v>https://www.idc.com/resource-center/press-releases/2q26-mpt-top5/</x:v>
      </x:c>
      <x:c r="O39" s="14" t="str">
        <x:v>公开信息估算，非IDC直接披露</x:v>
      </x:c>
      <x:c r="P39" s="13" t="n">
        <x:f>I39</x:f>
        <x:v>0.006172839506172867</x:v>
      </x:c>
    </x:row>
    <x:row r="40">
      <x:c r="A40" s="11" t="str">
        <x:v>25Q3</x:v>
      </x:c>
      <x:c r="B40" s="11" t="str">
        <x:v>Huawei</x:v>
      </x:c>
      <x:c r="C40" s="12" t="n">
        <x:v>14.3</x:v>
      </x:c>
      <x:c r="D40" s="12" t="n">
        <x:v>12.9</x:v>
      </x:c>
      <x:c r="E40" s="12" t="n">
        <x:f>C40-D40</x:f>
        <x:v>1.4000000000000004</x:v>
      </x:c>
      <x:c r="F40" s="12" t="n">
        <x:v>13.8</x:v>
      </x:c>
      <x:c r="G40" s="12" t="n">
        <x:v>12.45</x:v>
      </x:c>
      <x:c r="H40" s="12" t="n">
        <x:f>F40-G40</x:f>
        <x:v>1.3500000000000014</x:v>
      </x:c>
      <x:c r="I40" s="13" t="n">
        <x:f>IF(F40=0,"",C40/F40-1)</x:f>
        <x:v>0.03623188405797095</x:v>
      </x:c>
      <x:c r="J40" s="13" t="n">
        <x:f>IF(G40=0,"",D40/G40-1)</x:f>
        <x:v>0.03614457831325302</x:v>
      </x:c>
      <x:c r="K40" s="13" t="n">
        <x:f>IF(H40=0,"",E40/H40-1)</x:f>
        <x:v>0.03703703703703631</x:v>
      </x:c>
      <x:c r="L40" s="11" t="str">
        <x:v>ESTIMATE</x:v>
      </x:c>
      <x:c r="M40" s="14" t="str">
        <x:v>IDC 25Q3历史数据，2025-11-06</x:v>
      </x:c>
      <x:c r="N40" s="14" t="str">
        <x:v>https://www.idc.com/promo/smartphone-market-share/?submit=Search</x:v>
      </x:c>
      <x:c r="O40" s="14" t="str">
        <x:v>公开信息估算，非IDC直接披露</x:v>
      </x:c>
      <x:c r="P40" s="13" t="n">
        <x:f>I40</x:f>
        <x:v>0.03623188405797095</x:v>
      </x:c>
    </x:row>
    <x:row r="41">
      <x:c r="A41" s="11" t="str">
        <x:v>25Q4</x:v>
      </x:c>
      <x:c r="B41" s="11" t="str">
        <x:v>Huawei</x:v>
      </x:c>
      <x:c r="C41" s="12" t="n">
        <x:v>14.6</x:v>
      </x:c>
      <x:c r="D41" s="12" t="n">
        <x:v>13.15</x:v>
      </x:c>
      <x:c r="E41" s="12" t="n">
        <x:f>C41-D41</x:f>
        <x:v>1.4499999999999993</x:v>
      </x:c>
      <x:c r="F41" s="12" t="n">
        <x:v>15.6</x:v>
      </x:c>
      <x:c r="G41" s="12" t="n">
        <x:v>14.13</x:v>
      </x:c>
      <x:c r="H41" s="12" t="n">
        <x:f>F41-G41</x:f>
        <x:v>1.4699999999999989</x:v>
      </x:c>
      <x:c r="I41" s="13" t="n">
        <x:f>IF(F41=0,"",C41/F41-1)</x:f>
        <x:v>-0.0641025641025641</x:v>
      </x:c>
      <x:c r="J41" s="13" t="n">
        <x:f>IF(G41=0,"",D41/G41-1)</x:f>
        <x:v>-0.06935598018400568</x:v>
      </x:c>
      <x:c r="K41" s="13" t="n">
        <x:f>IF(H41=0,"",E41/H41-1)</x:f>
        <x:v>-0.01360544217687043</x:v>
      </x:c>
      <x:c r="L41" s="11" t="str">
        <x:v>ESTIMATE</x:v>
      </x:c>
      <x:c r="M41" s="14" t="str">
        <x:v>IDC 25Q4初值，2026-01-13</x:v>
      </x:c>
      <x:c r="N41" s="14" t="str">
        <x:v>https://www.idc.com/resource-center/press-releases/q425mobilephonetop5/</x:v>
      </x:c>
      <x:c r="O41" s="14" t="str">
        <x:v>公开信息估算，非IDC直接披露</x:v>
      </x:c>
      <x:c r="P41" s="13" t="n">
        <x:f>I41</x:f>
        <x:v>-0.0641025641025641</x:v>
      </x:c>
    </x:row>
    <x:row r="42">
      <x:c r="A42" s="11" t="str">
        <x:v>26Q1</x:v>
      </x:c>
      <x:c r="B42" s="11" t="str">
        <x:v>Huawei</x:v>
      </x:c>
      <x:c r="C42" s="12" t="n">
        <x:v>16.5</x:v>
      </x:c>
      <x:c r="D42" s="12" t="n">
        <x:v>15.01</x:v>
      </x:c>
      <x:c r="E42" s="12" t="n">
        <x:f>C42-D42</x:f>
        <x:v>1.4900000000000002</x:v>
      </x:c>
      <x:c r="F42" s="12" t="n">
        <x:v>16.4</x:v>
      </x:c>
      <x:c r="G42" s="12" t="n">
        <x:v>15.02</x:v>
      </x:c>
      <x:c r="H42" s="12" t="n">
        <x:f>F42-G42</x:f>
        <x:v>1.379999999999999</x:v>
      </x:c>
      <x:c r="I42" s="13" t="n">
        <x:f>IF(F42=0,"",C42/F42-1)</x:f>
        <x:v>0.0060975609756097615</x:v>
      </x:c>
      <x:c r="J42" s="13" t="n">
        <x:f>IF(G42=0,"",D42/G42-1)</x:f>
        <x:v>-0.0006657789613847553</x:v>
      </x:c>
      <x:c r="K42" s="13" t="n">
        <x:f>IF(H42=0,"",E42/H42-1)</x:f>
        <x:v>0.07971014492753725</x:v>
      </x:c>
      <x:c r="L42" s="11" t="str">
        <x:v>ESTIMATE</x:v>
      </x:c>
      <x:c r="M42" s="14" t="str">
        <x:v>IDC 26Q1最终历史数据，2026-05-07</x:v>
      </x:c>
      <x:c r="N42" s="14" t="str">
        <x:v>https://www.idc.com/promo/smartphone-market-share/market-share/</x:v>
      </x:c>
      <x:c r="O42" s="14" t="str">
        <x:v>公开信息估算，非IDC直接披露</x:v>
      </x:c>
      <x:c r="P42" s="13" t="n">
        <x:f>I42</x:f>
        <x:v>0.0060975609756097615</x:v>
      </x:c>
    </x:row>
    <x:row r="43">
      <x:c r="A43" s="11" t="str">
        <x:v>26Q2</x:v>
      </x:c>
      <x:c r="B43" s="11" t="str">
        <x:v>Huawei</x:v>
      </x:c>
      <x:c r="C43" s="12" t="n">
        <x:v>19.7</x:v>
      </x:c>
      <x:c r="D43" s="12" t="n">
        <x:v>15.74</x:v>
      </x:c>
      <x:c r="E43" s="12" t="n">
        <x:f>C43-D43</x:f>
        <x:v>3.959999999999999</x:v>
      </x:c>
      <x:c r="F43" s="12" t="n">
        <x:v>16.3</x:v>
      </x:c>
      <x:c r="G43" s="12" t="n">
        <x:v>14.9</x:v>
      </x:c>
      <x:c r="H43" s="12" t="n">
        <x:f>F43-G43</x:f>
        <x:v>1.4000000000000004</x:v>
      </x:c>
      <x:c r="I43" s="13" t="n">
        <x:f>IF(F43=0,"",C43/F43-1)</x:f>
        <x:v>0.20858895705521463</x:v>
      </x:c>
      <x:c r="J43" s="13" t="n">
        <x:f>IF(G43=0,"",D43/G43-1)</x:f>
        <x:v>0.05637583892617459</x:v>
      </x:c>
      <x:c r="K43" s="13" t="n">
        <x:f>IF(H43=0,"",E43/H43-1)</x:f>
        <x:v>1.8285714285714274</x:v>
      </x:c>
      <x:c r="L43" s="11" t="str">
        <x:v>IDC_YOY_DERIVED</x:v>
      </x:c>
      <x:c r="M43" s="14" t="str">
        <x:v>IDC 26Q2初值，2026-07-13</x:v>
      </x:c>
      <x:c r="N43" s="14" t="str">
        <x:v>https://www.idc.com/resource-center/press-releases/2q26-mpt-top5/</x:v>
      </x:c>
      <x:c r="O43" s="14" t="str">
        <x:v>IDC官方同比反推，非直接绝对量</x:v>
      </x:c>
      <x:c r="P43" s="13" t="n">
        <x:f>I43</x:f>
        <x:v>0.20858895705521463</x:v>
      </x:c>
    </x:row>
    <x:row r="44">
      <x:c r="A44" s="11" t="str">
        <x:v>25Q1</x:v>
      </x:c>
      <x:c r="B44" s="11" t="str">
        <x:v>Transsion</x:v>
      </x:c>
      <x:c r="C44" s="12" t="n">
        <x:v>25</x:v>
      </x:c>
      <x:c r="D44" s="12" t="n">
        <x:v>0.1</x:v>
      </x:c>
      <x:c r="E44" s="12" t="n">
        <x:f>C44-D44</x:f>
        <x:v>24.9</x:v>
      </x:c>
      <x:c r="F44" s="12" t="n">
        <x:v>28.5</x:v>
      </x:c>
      <x:c r="G44" s="12" t="n">
        <x:v>0.1</x:v>
      </x:c>
      <x:c r="H44" s="12" t="n">
        <x:f>F44-G44</x:f>
        <x:v>28.4</x:v>
      </x:c>
      <x:c r="I44" s="13" t="n">
        <x:f>IF(F44=0,"",C44/F44-1)</x:f>
        <x:v>-0.1228070175438597</x:v>
      </x:c>
      <x:c r="J44" s="13" t="n">
        <x:f>IF(G44=0,"",D44/G44-1)</x:f>
        <x:v>0</x:v>
      </x:c>
      <x:c r="K44" s="13" t="n">
        <x:f>IF(H44=0,"",E44/H44-1)</x:f>
        <x:v>-0.12323943661971837</x:v>
      </x:c>
      <x:c r="L44" s="11" t="str">
        <x:v>ESTIMATE</x:v>
      </x:c>
      <x:c r="M44" s="14" t="str">
        <x:v>IDC 26Q1最终历史表中回溯重列的25Q1对比值</x:v>
      </x:c>
      <x:c r="N44" s="14" t="str">
        <x:v>https://www.idc.com/promo/smartphone-market-share/market-share/</x:v>
      </x:c>
      <x:c r="O44" s="14" t="str">
        <x:v>公开信息估算，非IDC直接披露</x:v>
      </x:c>
      <x:c r="P44" s="13" t="n">
        <x:f>I44</x:f>
        <x:v>-0.1228070175438597</x:v>
      </x:c>
    </x:row>
    <x:row r="45">
      <x:c r="A45" s="11" t="str">
        <x:v>25Q2</x:v>
      </x:c>
      <x:c r="B45" s="11" t="str">
        <x:v>Transsion</x:v>
      </x:c>
      <x:c r="C45" s="12" t="n">
        <x:v>25.1</x:v>
      </x:c>
      <x:c r="D45" s="12" t="n">
        <x:v>0.1</x:v>
      </x:c>
      <x:c r="E45" s="12" t="n">
        <x:f>C45-D45</x:f>
        <x:v>25</x:v>
      </x:c>
      <x:c r="F45" s="12" t="n">
        <x:v>25.5</x:v>
      </x:c>
      <x:c r="G45" s="12" t="n">
        <x:v>0.1</x:v>
      </x:c>
      <x:c r="H45" s="12" t="n">
        <x:f>F45-G45</x:f>
        <x:v>25.4</x:v>
      </x:c>
      <x:c r="I45" s="13" t="n">
        <x:f>IF(F45=0,"",C45/F45-1)</x:f>
        <x:v>-0.015686274509803866</x:v>
      </x:c>
      <x:c r="J45" s="13" t="n">
        <x:f>IF(G45=0,"",D45/G45-1)</x:f>
        <x:v>0</x:v>
      </x:c>
      <x:c r="K45" s="13" t="n">
        <x:f>IF(H45=0,"",E45/H45-1)</x:f>
        <x:v>-0.015748031496062964</x:v>
      </x:c>
      <x:c r="L45" s="11" t="str">
        <x:v>IDC_PRELIM</x:v>
      </x:c>
      <x:c r="M45" s="14" t="str">
        <x:v>IDC 26Q2公开表中回溯重列的25Q2对比值</x:v>
      </x:c>
      <x:c r="N45" s="14" t="str">
        <x:v>https://www.idc.com/resource-center/press-releases/2q26-mpt-top5/</x:v>
      </x:c>
      <x:c r="O45" s="14" t="str">
        <x:v>与IDC当期公开表一致</x:v>
      </x:c>
      <x:c r="P45" s="13" t="n">
        <x:v>-0.017</x:v>
      </x:c>
    </x:row>
    <x:row r="46">
      <x:c r="A46" s="11" t="str">
        <x:v>25Q3</x:v>
      </x:c>
      <x:c r="B46" s="11" t="str">
        <x:v>Transsion</x:v>
      </x:c>
      <x:c r="C46" s="12" t="n">
        <x:v>29.2</x:v>
      </x:c>
      <x:c r="D46" s="12" t="n">
        <x:v>0.1</x:v>
      </x:c>
      <x:c r="E46" s="12" t="n">
        <x:f>C46-D46</x:f>
        <x:v>29.099999999999998</x:v>
      </x:c>
      <x:c r="F46" s="12" t="n">
        <x:v>25.7</x:v>
      </x:c>
      <x:c r="G46" s="12" t="n">
        <x:v>0.1</x:v>
      </x:c>
      <x:c r="H46" s="12" t="n">
        <x:f>F46-G46</x:f>
        <x:v>25.599999999999998</x:v>
      </x:c>
      <x:c r="I46" s="13" t="n">
        <x:f>IF(F46=0,"",C46/F46-1)</x:f>
        <x:v>0.13618677042801552</x:v>
      </x:c>
      <x:c r="J46" s="13" t="n">
        <x:f>IF(G46=0,"",D46/G46-1)</x:f>
        <x:v>0</x:v>
      </x:c>
      <x:c r="K46" s="13" t="n">
        <x:f>IF(H46=0,"",E46/H46-1)</x:f>
        <x:v>0.13671875</x:v>
      </x:c>
      <x:c r="L46" s="11" t="str">
        <x:v>IDC_FINAL</x:v>
      </x:c>
      <x:c r="M46" s="14" t="str">
        <x:v>IDC 25Q3历史数据，2025-11-06</x:v>
      </x:c>
      <x:c r="N46" s="14" t="str">
        <x:v>https://www.idc.com/promo/smartphone-market-share/?submit=Search</x:v>
      </x:c>
      <x:c r="O46" s="14" t="str">
        <x:v>与IDC公开表一致</x:v>
      </x:c>
      <x:c r="P46" s="13" t="n">
        <x:v>0.134</x:v>
      </x:c>
    </x:row>
    <x:row r="47">
      <x:c r="A47" s="11" t="str">
        <x:v>25Q4</x:v>
      </x:c>
      <x:c r="B47" s="11" t="str">
        <x:v>Transsion</x:v>
      </x:c>
      <x:c r="C47" s="12" t="n">
        <x:v>25</x:v>
      </x:c>
      <x:c r="D47" s="12" t="n">
        <x:v>0.1</x:v>
      </x:c>
      <x:c r="E47" s="12" t="n">
        <x:f>C47-D47</x:f>
        <x:v>24.9</x:v>
      </x:c>
      <x:c r="F47" s="12" t="n">
        <x:v>25.4</x:v>
      </x:c>
      <x:c r="G47" s="12" t="n">
        <x:v>0.1</x:v>
      </x:c>
      <x:c r="H47" s="12" t="n">
        <x:f>F47-G47</x:f>
        <x:v>25.299999999999997</x:v>
      </x:c>
      <x:c r="I47" s="13" t="n">
        <x:f>IF(F47=0,"",C47/F47-1)</x:f>
        <x:v>-0.015748031496062964</x:v>
      </x:c>
      <x:c r="J47" s="13" t="n">
        <x:f>IF(G47=0,"",D47/G47-1)</x:f>
        <x:v>0</x:v>
      </x:c>
      <x:c r="K47" s="13" t="n">
        <x:f>IF(H47=0,"",E47/H47-1)</x:f>
        <x:v>-0.015810276679841806</x:v>
      </x:c>
      <x:c r="L47" s="11" t="str">
        <x:v>ESTIMATE</x:v>
      </x:c>
      <x:c r="M47" s="14" t="str">
        <x:v>IDC 25Q4初值，2026-01-13</x:v>
      </x:c>
      <x:c r="N47" s="14" t="str">
        <x:v>https://www.idc.com/resource-center/press-releases/q425mobilephonetop5/</x:v>
      </x:c>
      <x:c r="O47" s="14" t="str">
        <x:v>公开信息估算，非IDC直接披露</x:v>
      </x:c>
      <x:c r="P47" s="13" t="n">
        <x:f>I47</x:f>
        <x:v>-0.015748031496062964</x:v>
      </x:c>
    </x:row>
    <x:row r="48">
      <x:c r="A48" s="11" t="str">
        <x:v>26Q1</x:v>
      </x:c>
      <x:c r="B48" s="11" t="str">
        <x:v>Transsion</x:v>
      </x:c>
      <x:c r="C48" s="12" t="n">
        <x:v>19.5</x:v>
      </x:c>
      <x:c r="D48" s="12" t="n">
        <x:v>0.1</x:v>
      </x:c>
      <x:c r="E48" s="12" t="n">
        <x:f>C48-D48</x:f>
        <x:v>19.4</x:v>
      </x:c>
      <x:c r="F48" s="12" t="n">
        <x:v>25</x:v>
      </x:c>
      <x:c r="G48" s="12" t="n">
        <x:v>0.1</x:v>
      </x:c>
      <x:c r="H48" s="12" t="n">
        <x:f>F48-G48</x:f>
        <x:v>24.9</x:v>
      </x:c>
      <x:c r="I48" s="13" t="n">
        <x:f>IF(F48=0,"",C48/F48-1)</x:f>
        <x:v>-0.21999999999999997</x:v>
      </x:c>
      <x:c r="J48" s="13" t="n">
        <x:f>IF(G48=0,"",D48/G48-1)</x:f>
        <x:v>0</x:v>
      </x:c>
      <x:c r="K48" s="13" t="n">
        <x:f>IF(H48=0,"",E48/H48-1)</x:f>
        <x:v>-0.22088353413654616</x:v>
      </x:c>
      <x:c r="L48" s="11" t="str">
        <x:v>ESTIMATE</x:v>
      </x:c>
      <x:c r="M48" s="14" t="str">
        <x:v>IDC 26Q1最终历史数据，2026-05-07</x:v>
      </x:c>
      <x:c r="N48" s="14" t="str">
        <x:v>https://www.idc.com/promo/smartphone-market-share/market-share/</x:v>
      </x:c>
      <x:c r="O48" s="14" t="str">
        <x:v>公开信息估算，非IDC直接披露</x:v>
      </x:c>
      <x:c r="P48" s="13" t="n">
        <x:f>I48</x:f>
        <x:v>-0.21999999999999997</x:v>
      </x:c>
    </x:row>
    <x:row r="49">
      <x:c r="A49" s="11" t="str">
        <x:v>26Q2</x:v>
      </x:c>
      <x:c r="B49" s="11" t="str">
        <x:v>Transsion</x:v>
      </x:c>
      <x:c r="C49" s="12" t="n">
        <x:v>18.5</x:v>
      </x:c>
      <x:c r="D49" s="12" t="n">
        <x:v>0.1</x:v>
      </x:c>
      <x:c r="E49" s="12" t="n">
        <x:f>C49-D49</x:f>
        <x:v>18.4</x:v>
      </x:c>
      <x:c r="F49" s="12" t="n">
        <x:v>25.1</x:v>
      </x:c>
      <x:c r="G49" s="12" t="n">
        <x:v>0.1</x:v>
      </x:c>
      <x:c r="H49" s="12" t="n">
        <x:f>F49-G49</x:f>
        <x:v>25</x:v>
      </x:c>
      <x:c r="I49" s="13" t="n">
        <x:f>IF(F49=0,"",C49/F49-1)</x:f>
        <x:v>-0.26294820717131473</x:v>
      </x:c>
      <x:c r="J49" s="13" t="n">
        <x:f>IF(G49=0,"",D49/G49-1)</x:f>
        <x:v>0</x:v>
      </x:c>
      <x:c r="K49" s="13" t="n">
        <x:f>IF(H49=0,"",E49/H49-1)</x:f>
        <x:v>-0.264</x:v>
      </x:c>
      <x:c r="L49" s="11" t="str">
        <x:v>ESTIMATE</x:v>
      </x:c>
      <x:c r="M49" s="14" t="str">
        <x:v>IDC 26Q2初值，2026-07-13</x:v>
      </x:c>
      <x:c r="N49" s="14" t="str">
        <x:v>https://www.idc.com/resource-center/press-releases/2q26-mpt-top5/</x:v>
      </x:c>
      <x:c r="O49" s="14" t="str">
        <x:v>公开信息估算，非IDC直接披露</x:v>
      </x:c>
      <x:c r="P49" s="13" t="n">
        <x:f>I49</x:f>
        <x:v>-0.26294820717131473</x:v>
      </x:c>
    </x:row>
    <x:row r="50">
      <x:c r="A50" s="11" t="str">
        <x:v>25Q1</x:v>
      </x:c>
      <x:c r="B50" s="11" t="str">
        <x:v>市场总计</x:v>
      </x:c>
      <x:c r="C50" s="12" t="n">
        <x:v>302.6</x:v>
      </x:c>
      <x:c r="D50" s="12" t="n">
        <x:v>71.4</x:v>
      </x:c>
      <x:c r="E50" s="12" t="n">
        <x:f>C50-D50</x:f>
        <x:v>231.20000000000002</x:v>
      </x:c>
      <x:c r="F50" s="12" t="n">
        <x:v>300.3</x:v>
      </x:c>
      <x:c r="G50" s="12" t="n">
        <x:v>69.3</x:v>
      </x:c>
      <x:c r="H50" s="12" t="n">
        <x:f>F50-G50</x:f>
        <x:v>231</x:v>
      </x:c>
      <x:c r="I50" s="13" t="n">
        <x:f>IF(F50=0,"",C50/F50-1)</x:f>
        <x:v>0.007659007659007733</x:v>
      </x:c>
      <x:c r="J50" s="13" t="n">
        <x:f>IF(G50=0,"",D50/G50-1)</x:f>
        <x:v>0.030303030303030498</x:v>
      </x:c>
      <x:c r="K50" s="13" t="n">
        <x:f>IF(H50=0,"",E50/H50-1)</x:f>
        <x:v>0.0008658008658009031</x:v>
      </x:c>
      <x:c r="L50" s="11" t="str">
        <x:v>IDC_REVISED / CHINA_CONFIRMED</x:v>
      </x:c>
      <x:c r="M50" s="14" t="str">
        <x:v>IDC 26Q1最终历史表中回溯重列的25Q1对比值；中国总量为用户确认准确看板</x:v>
      </x:c>
      <x:c r="N50" s="14" t="str">
        <x:v>https://www.idc.com/promo/smartphone-market-share/market-share/</x:v>
      </x:c>
      <x:c r="O50" s="14" t="str">
        <x:v>全球总量与IDC公开表一致</x:v>
      </x:c>
      <x:c r="P50" s="13" t="n">
        <x:v>0.015</x:v>
      </x:c>
    </x:row>
    <x:row r="51">
      <x:c r="A51" s="11" t="str">
        <x:v>25Q2</x:v>
      </x:c>
      <x:c r="B51" s="11" t="str">
        <x:v>市场总计</x:v>
      </x:c>
      <x:c r="C51" s="12" t="n">
        <x:v>297.4</x:v>
      </x:c>
      <x:c r="D51" s="12" t="n">
        <x:v>69</x:v>
      </x:c>
      <x:c r="E51" s="12" t="n">
        <x:f>C51-D51</x:f>
        <x:v>228.39999999999998</x:v>
      </x:c>
      <x:c r="F51" s="12" t="n">
        <x:v>292.2</x:v>
      </x:c>
      <x:c r="G51" s="12" t="n">
        <x:v>71.8</x:v>
      </x:c>
      <x:c r="H51" s="12" t="n">
        <x:f>F51-G51</x:f>
        <x:v>220.39999999999998</x:v>
      </x:c>
      <x:c r="I51" s="13" t="n">
        <x:f>IF(F51=0,"",C51/F51-1)</x:f>
        <x:v>0.017796030116358663</x:v>
      </x:c>
      <x:c r="J51" s="13" t="n">
        <x:f>IF(G51=0,"",D51/G51-1)</x:f>
        <x:v>-0.03899721448467963</x:v>
      </x:c>
      <x:c r="K51" s="13" t="n">
        <x:f>IF(H51=0,"",E51/H51-1)</x:f>
        <x:v>0.0362976406533575</x:v>
      </x:c>
      <x:c r="L51" s="11" t="str">
        <x:v>IDC_REVISED / CHINA_CONFIRMED</x:v>
      </x:c>
      <x:c r="M51" s="14" t="str">
        <x:v>IDC 26Q2公开表中回溯重列的25Q2对比值；中国总量为用户确认准确看板</x:v>
      </x:c>
      <x:c r="N51" s="14" t="str">
        <x:v>https://www.idc.com/resource-center/press-releases/2q26-mpt-top5/</x:v>
      </x:c>
      <x:c r="O51" s="14" t="str">
        <x:v>全球总量与IDC公开表一致</x:v>
      </x:c>
      <x:c r="P51" s="13" t="n">
        <x:v>0.01</x:v>
      </x:c>
    </x:row>
    <x:row r="52">
      <x:c r="A52" s="11" t="str">
        <x:v>25Q3</x:v>
      </x:c>
      <x:c r="B52" s="11" t="str">
        <x:v>市场总计</x:v>
      </x:c>
      <x:c r="C52" s="12" t="n">
        <x:v>325.7</x:v>
      </x:c>
      <x:c r="D52" s="12" t="n">
        <x:v>68.5</x:v>
      </x:c>
      <x:c r="E52" s="12" t="n">
        <x:f>C52-D52</x:f>
        <x:v>257.2</x:v>
      </x:c>
      <x:c r="F52" s="12" t="n">
        <x:v>314.7</x:v>
      </x:c>
      <x:c r="G52" s="12" t="n">
        <x:v>68.8</x:v>
      </x:c>
      <x:c r="H52" s="12" t="n">
        <x:f>F52-G52</x:f>
        <x:v>245.89999999999998</x:v>
      </x:c>
      <x:c r="I52" s="13" t="n">
        <x:f>IF(F52=0,"",C52/F52-1)</x:f>
        <x:v>0.03495392437241818</x:v>
      </x:c>
      <x:c r="J52" s="13" t="n">
        <x:f>IF(G52=0,"",D52/G52-1)</x:f>
        <x:v>-0.0043604651162790775</x:v>
      </x:c>
      <x:c r="K52" s="13" t="n">
        <x:f>IF(H52=0,"",E52/H52-1)</x:f>
        <x:v>0.04595363969093125</x:v>
      </x:c>
      <x:c r="L52" s="11" t="str">
        <x:v>IDC_FINAL / CHINA_CONFIRMED</x:v>
      </x:c>
      <x:c r="M52" s="14" t="str">
        <x:v>IDC 25Q3历史数据，2025-11-06；中国总量为用户确认准确看板</x:v>
      </x:c>
      <x:c r="N52" s="14" t="str">
        <x:v>https://www.idc.com/promo/smartphone-market-share/?submit=Search</x:v>
      </x:c>
      <x:c r="O52" s="14" t="str">
        <x:v>全球总量与IDC公开表一致</x:v>
      </x:c>
      <x:c r="P52" s="13" t="n">
        <x:v>0.035</x:v>
      </x:c>
    </x:row>
    <x:row r="53">
      <x:c r="A53" s="11" t="str">
        <x:v>25Q4</x:v>
      </x:c>
      <x:c r="B53" s="11" t="str">
        <x:v>市场总计</x:v>
      </x:c>
      <x:c r="C53" s="12" t="n">
        <x:v>336.3</x:v>
      </x:c>
      <x:c r="D53" s="12" t="n">
        <x:v>75.7</x:v>
      </x:c>
      <x:c r="E53" s="12" t="n">
        <x:f>C53-D53</x:f>
        <x:v>260.6</x:v>
      </x:c>
      <x:c r="F53" s="12" t="n">
        <x:v>328.8</x:v>
      </x:c>
      <x:c r="G53" s="12" t="n">
        <x:v>76.4</x:v>
      </x:c>
      <x:c r="H53" s="12" t="n">
        <x:f>F53-G53</x:f>
        <x:v>252.4</x:v>
      </x:c>
      <x:c r="I53" s="13" t="n">
        <x:f>IF(F53=0,"",C53/F53-1)</x:f>
        <x:v>0.022810218978102093</x:v>
      </x:c>
      <x:c r="J53" s="13" t="n">
        <x:f>IF(G53=0,"",D53/G53-1)</x:f>
        <x:v>-0.009162303664921545</x:v>
      </x:c>
      <x:c r="K53" s="13" t="n">
        <x:f>IF(H53=0,"",E53/H53-1)</x:f>
        <x:v>0.032488114104595844</x:v>
      </x:c>
      <x:c r="L53" s="11" t="str">
        <x:v>IDC_PRELIM / CHINA_CONFIRMED</x:v>
      </x:c>
      <x:c r="M53" s="14" t="str">
        <x:v>IDC 25Q4初值，2026-01-13；中国总量为用户确认准确看板</x:v>
      </x:c>
      <x:c r="N53" s="14" t="str">
        <x:v>https://www.idc.com/resource-center/press-releases/q425mobilephonetop5/</x:v>
      </x:c>
      <x:c r="O53" s="14" t="str">
        <x:v>全球总量与IDC公开表一致</x:v>
      </x:c>
      <x:c r="P53" s="13" t="n">
        <x:v>0.023</x:v>
      </x:c>
    </x:row>
    <x:row r="54">
      <x:c r="A54" s="11" t="str">
        <x:v>26Q1</x:v>
      </x:c>
      <x:c r="B54" s="11" t="str">
        <x:v>市场总计</x:v>
      </x:c>
      <x:c r="C54" s="12" t="n">
        <x:v>293.8</x:v>
      </x:c>
      <x:c r="D54" s="12" t="n">
        <x:v>68.4</x:v>
      </x:c>
      <x:c r="E54" s="12" t="n">
        <x:f>C54-D54</x:f>
        <x:v>225.4</x:v>
      </x:c>
      <x:c r="F54" s="12" t="n">
        <x:v>302.6</x:v>
      </x:c>
      <x:c r="G54" s="12" t="n">
        <x:v>71.4</x:v>
      </x:c>
      <x:c r="H54" s="12" t="n">
        <x:f>F54-G54</x:f>
        <x:v>231.20000000000002</x:v>
      </x:c>
      <x:c r="I54" s="13" t="n">
        <x:f>IF(F54=0,"",C54/F54-1)</x:f>
        <x:v>-0.029081295439524202</x:v>
      </x:c>
      <x:c r="J54" s="13" t="n">
        <x:f>IF(G54=0,"",D54/G54-1)</x:f>
        <x:v>-0.04201680672268904</x:v>
      </x:c>
      <x:c r="K54" s="13" t="n">
        <x:f>IF(H54=0,"",E54/H54-1)</x:f>
        <x:v>-0.025086505190311414</x:v>
      </x:c>
      <x:c r="L54" s="11" t="str">
        <x:v>IDC_FINAL / CHINA_CONFIRMED</x:v>
      </x:c>
      <x:c r="M54" s="14" t="str">
        <x:v>IDC 26Q1最终历史数据，2026-05-07；中国总量为用户确认准确看板</x:v>
      </x:c>
      <x:c r="N54" s="14" t="str">
        <x:v>https://www.idc.com/promo/smartphone-market-share/market-share/</x:v>
      </x:c>
      <x:c r="O54" s="14" t="str">
        <x:v>全球总量与IDC公开表一致</x:v>
      </x:c>
      <x:c r="P54" s="13" t="n">
        <x:v>-0.028999999999999998</x:v>
      </x:c>
    </x:row>
    <x:row r="55">
      <x:c r="A55" s="11" t="str">
        <x:v>26Q2</x:v>
      </x:c>
      <x:c r="B55" s="11" t="str">
        <x:v>市场总计</x:v>
      </x:c>
      <x:c r="C55" s="12" t="n">
        <x:v>277.5</x:v>
      </x:c>
      <x:c r="D55" s="12" t="n">
        <x:v>65.9</x:v>
      </x:c>
      <x:c r="E55" s="12" t="n">
        <x:f>C55-D55</x:f>
        <x:v>211.6</x:v>
      </x:c>
      <x:c r="F55" s="12" t="n">
        <x:v>297.4</x:v>
      </x:c>
      <x:c r="G55" s="12" t="n">
        <x:v>69</x:v>
      </x:c>
      <x:c r="H55" s="12" t="n">
        <x:f>F55-G55</x:f>
        <x:v>228.39999999999998</x:v>
      </x:c>
      <x:c r="I55" s="13" t="n">
        <x:f>IF(F55=0,"",C55/F55-1)</x:f>
        <x:v>-0.06691324815063882</x:v>
      </x:c>
      <x:c r="J55" s="13" t="n">
        <x:f>IF(G55=0,"",D55/G55-1)</x:f>
        <x:v>-0.04492753623188395</x:v>
      </x:c>
      <x:c r="K55" s="13" t="n">
        <x:f>IF(H55=0,"",E55/H55-1)</x:f>
        <x:v>-0.07355516637478099</x:v>
      </x:c>
      <x:c r="L55" s="11" t="str">
        <x:v>IDC_PRELIM / CHINA_CONFIRMED</x:v>
      </x:c>
      <x:c r="M55" s="14" t="str">
        <x:v>IDC 26Q2初值，2026-07-13；中国总量为用户确认准确看板</x:v>
      </x:c>
      <x:c r="N55" s="14" t="str">
        <x:v>https://www.idc.com/resource-center/press-releases/2q26-mpt-top5/</x:v>
      </x:c>
      <x:c r="O55" s="14" t="str">
        <x:v>全球总量与IDC公开表一致</x:v>
      </x:c>
      <x:c r="P55" s="13" t="n">
        <x:v>-0.067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58" hidden="0" customWidth="1"/>
    <x:col min="3" max="3" width="34" hidden="0" customWidth="1"/>
    <x:col min="4" max="4" width="70" hidden="0" customWidth="1"/>
  </x:cols>
  <x:sheetData>
    <x:row r="1">
      <x:c r="A1" s="72" t="str">
        <x:v>数据来源、校验规则与口径边界</x:v>
      </x:c>
      <x:c r="B1" s="72"/>
      <x:c r="C1" s="72"/>
      <x:c r="D1" s="72"/>
    </x:row>
    <x:row r="2">
      <x:c r="A2" s="74"/>
      <x:c r="B2" s="74"/>
      <x:c r="C2" s="74"/>
      <x:c r="D2" s="74"/>
    </x:row>
    <x:row r="3">
      <x:c r="A3" s="10" t="str">
        <x:v>项目</x:v>
      </x:c>
      <x:c r="B3" s="10" t="str">
        <x:v>定义</x:v>
      </x:c>
      <x:c r="C3" s="10" t="str">
        <x:v>校验方式</x:v>
      </x:c>
      <x:c r="D3" s="10" t="str">
        <x:v>结论边界</x:v>
      </x:c>
    </x:row>
    <x:row r="4">
      <x:c r="A4" s="122" t="str">
        <x:v>全球厂商</x:v>
      </x:c>
      <x:c r="B4" s="122" t="str">
        <x:v>IDC公开Top 5表优先</x:v>
      </x:c>
      <x:c r="C4" s="122" t="str">
        <x:v>公开的绝对量逐格匹配</x:v>
      </x:c>
      <x:c r="D4" s="122" t="str">
        <x:v>未公开厂商只标估算/反推，不声称官方</x:v>
      </x:c>
    </x:row>
    <x:row r="5">
      <x:c r="A5" s="122" t="str">
        <x:v>中国厂商</x:v>
      </x:c>
      <x:c r="B5" s="122" t="str">
        <x:v>用户确认准确看板底稿</x:v>
      </x:c>
      <x:c r="C5" s="122" t="str">
        <x:v>原值保留不修改</x:v>
      </x:c>
      <x:c r="D5" s="122" t="str">
        <x:v>本轮不用外部新闻替换</x:v>
      </x:c>
    </x:row>
    <x:row r="6">
      <x:c r="A6" s="122" t="str">
        <x:v>海外厂商</x:v>
      </x:c>
      <x:c r="B6" s="122" t="str">
        <x:v>全球出货 − 中国出货</x:v>
      </x:c>
      <x:c r="C6" s="122" t="str">
        <x:v>每格使用Excel公式倒减</x:v>
      </x:c>
      <x:c r="D6" s="122" t="str">
        <x:v>不是IDC直接披露的海外字段</x:v>
      </x:c>
    </x:row>
    <x:row r="7">
      <x:c r="A7" s="122" t="str">
        <x:v>季度全市场YoY</x:v>
      </x:c>
      <x:c r="B7" s="122" t="str">
        <x:v>IDC当期公布的标题/总计YoY</x:v>
      </x:c>
      <x:c r="C7" s="122" t="str">
        <x:v>直接保留官方值</x:v>
      </x:c>
      <x:c r="D7" s="122" t="str">
        <x:v>25Q1/25Q2绝对量为后续重列，与当期YoY可能非同一数据版本</x:v>
      </x:c>
    </x:row>
    <x:row r="8">
      <x:c r="A8" s="122" t="str">
        <x:v>半年YoY</x:v>
      </x:c>
      <x:c r="B8" s="122" t="str">
        <x:v>当期两季度合计/上年同期两季度合计−1</x:v>
      </x:c>
      <x:c r="C8" s="122" t="str">
        <x:v>Excel公式计算</x:v>
      </x:c>
      <x:c r="D8" s="122" t="str">
        <x:v>25H1涉及IDC历史重列，按公开可得对比值计算</x:v>
      </x:c>
    </x:row>
    <x:row r="9">
      <x:c r="A9" s="74"/>
      <x:c r="B9" s="74"/>
      <x:c r="C9" s="74"/>
      <x:c r="D9" s="74"/>
    </x:row>
    <x:row r="10">
      <x:c r="A10" s="10" t="str">
        <x:v>季度</x:v>
      </x:c>
      <x:c r="B10" s="10" t="str">
        <x:v>IDC核对基准</x:v>
      </x:c>
      <x:c r="C10" s="10" t="str">
        <x:v>状态</x:v>
      </x:c>
      <x:c r="D10" s="10" t="str">
        <x:v>URL</x:v>
      </x:c>
    </x:row>
    <x:row r="11">
      <x:c r="A11" s="122" t="str">
        <x:v>25Q1</x:v>
      </x:c>
      <x:c r="B11" s="122" t="str">
        <x:v>IDC 26Q1最终历史表中回溯重列的25Q1对比值</x:v>
      </x:c>
      <x:c r="C11" s="122" t="str">
        <x:v>IDC_REVISED</x:v>
      </x:c>
      <x:c r="D11" s="122" t="str">
        <x:v>https://www.idc.com/promo/smartphone-market-share/market-share/</x:v>
      </x:c>
    </x:row>
    <x:row r="12">
      <x:c r="A12" s="122" t="str">
        <x:v>25Q2</x:v>
      </x:c>
      <x:c r="B12" s="122" t="str">
        <x:v>IDC 26Q2公开表中回溯重列的25Q2对比值</x:v>
      </x:c>
      <x:c r="C12" s="122" t="str">
        <x:v>IDC_REVISED</x:v>
      </x:c>
      <x:c r="D12" s="122" t="str">
        <x:v>https://www.idc.com/resource-center/press-releases/2q26-mpt-top5/</x:v>
      </x:c>
    </x:row>
    <x:row r="13">
      <x:c r="A13" s="122" t="str">
        <x:v>25Q3</x:v>
      </x:c>
      <x:c r="B13" s="122" t="str">
        <x:v>IDC 25Q3历史数据，2025-11-06</x:v>
      </x:c>
      <x:c r="C13" s="122" t="str">
        <x:v>IDC_FINAL</x:v>
      </x:c>
      <x:c r="D13" s="122" t="str">
        <x:v>https://www.idc.com/promo/smartphone-market-share/?submit=Search</x:v>
      </x:c>
    </x:row>
    <x:row r="14">
      <x:c r="A14" s="122" t="str">
        <x:v>25Q4</x:v>
      </x:c>
      <x:c r="B14" s="122" t="str">
        <x:v>IDC 25Q4初值，2026-01-13</x:v>
      </x:c>
      <x:c r="C14" s="122" t="str">
        <x:v>IDC_PRELIM</x:v>
      </x:c>
      <x:c r="D14" s="122" t="str">
        <x:v>https://www.idc.com/resource-center/press-releases/q425mobilephonetop5/</x:v>
      </x:c>
    </x:row>
    <x:row r="15">
      <x:c r="A15" s="122" t="str">
        <x:v>26Q1</x:v>
      </x:c>
      <x:c r="B15" s="122" t="str">
        <x:v>IDC 26Q1最终历史数据，2026-05-07</x:v>
      </x:c>
      <x:c r="C15" s="122" t="str">
        <x:v>IDC_FINAL</x:v>
      </x:c>
      <x:c r="D15" s="122" t="str">
        <x:v>https://www.idc.com/promo/smartphone-market-share/market-share/</x:v>
      </x:c>
    </x:row>
    <x:row r="16">
      <x:c r="A16" s="122" t="str">
        <x:v>26Q2</x:v>
      </x:c>
      <x:c r="B16" s="122" t="str">
        <x:v>IDC 26Q2初值，2026-07-13</x:v>
      </x:c>
      <x:c r="C16" s="122" t="str">
        <x:v>IDC_PRELIM</x:v>
      </x:c>
      <x:c r="D16" s="122" t="str">
        <x:v>https://www.idc.com/resource-center/press-releases/2q26-mpt-top5/</x:v>
      </x:c>
    </x:row>
    <x:row r="17">
      <x:c r="A17" s="74"/>
      <x:c r="B17" s="74"/>
      <x:c r="C17" s="74"/>
      <x:c r="D17" s="74"/>
    </x:row>
    <x:row r="18">
      <x:c r="A18" s="10" t="str">
        <x:v>状态代码</x:v>
      </x:c>
      <x:c r="B18" s="10" t="str">
        <x:v>含义</x:v>
      </x:c>
      <x:c r="C18" s="10" t="str">
        <x:v>是否IDC直接绝对量</x:v>
      </x:c>
      <x:c r="D18" s="10" t="str">
        <x:v>颜色</x:v>
      </x:c>
    </x:row>
    <x:row r="19">
      <x:c r="A19" s="125" t="str">
        <x:v>IDC_FINAL / IDC_PRELIM / IDC_REVISED</x:v>
      </x:c>
      <x:c r="B19" s="125" t="str">
        <x:v>IDC最终、初值或回溯重列</x:v>
      </x:c>
      <x:c r="C19" s="125" t="str">
        <x:v>是（仅限公开表所列厂商）</x:v>
      </x:c>
      <x:c r="D19" s="125" t="str">
        <x:v>白/蓝</x:v>
      </x:c>
    </x:row>
    <x:row r="20">
      <x:c r="A20" s="125" t="str">
        <x:v>IDC_YOY_DERIVED</x:v>
      </x:c>
      <x:c r="B20" s="125" t="str">
        <x:v>按IDC官方全球同比反推</x:v>
      </x:c>
      <x:c r="C20" s="125" t="str">
        <x:v>否</x:v>
      </x:c>
      <x:c r="D20" s="125" t="str">
        <x:v>紫</x:v>
      </x:c>
    </x:row>
    <x:row r="21">
      <x:c r="A21" s="125" t="str">
        <x:v>ESTIMATE</x:v>
      </x:c>
      <x:c r="B21" s="125" t="str">
        <x:v>公开信息约束估算</x:v>
      </x:c>
      <x:c r="C21" s="125" t="str">
        <x:v>否</x:v>
      </x:c>
      <x:c r="D21" s="125" t="str">
        <x:v>橙</x:v>
      </x:c>
    </x:row>
    <x:row r="22">
      <x:c r="A22" s="125" t="str">
        <x:v>IDC_OLD_SCOPE</x:v>
      </x:c>
      <x:c r="B22" s="125" t="str">
        <x:v>OPPO旧口径/非当前公开Top 5</x:v>
      </x:c>
      <x:c r="C22" s="125" t="str">
        <x:v>不能按当前表直接复核</x:v>
      </x:c>
      <x:c r="D22" s="125" t="str">
        <x:v>红</x:v>
      </x:c>
    </x:row>
  </x:sheetData>
  <x:mergeCells>
    <x:mergeCell ref="A1:D1"/>
  </x:mergeCells>
  <x:pageMargins left="0.7" right="0.7" top="0.75" bottom="0.75" header="0.3" footer="0.3"/>
</x:worksheet>
</file>