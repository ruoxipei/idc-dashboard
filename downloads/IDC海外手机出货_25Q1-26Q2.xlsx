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6ffebcc4b41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出货明细" sheetId="1" r:id="R4e778c7458f3495f"/>
    <x:sheet xmlns:r="http://schemas.openxmlformats.org/officeDocument/2006/relationships" name="计算底稿" sheetId="2" r:id="R80abf0ad1e85430d"/>
    <x:sheet xmlns:r="http://schemas.openxmlformats.org/officeDocument/2006/relationships" name="来源说明" sheetId="3" r:id="Rd933d829a44c48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+0.0%;-0.0%;0.0%"/>
    <x:numFmt numFmtId="202" formatCode="0.00"/>
  </x:numFmts>
  <x:fonts count="22">
    <x:font>
      <x:sz val="11"/>
      <x:name val="Carlito"/>
    </x:font>
    <x:font>
      <x:b/>
      <x:sz val="18"/>
      <x:color rgb="FFFFFFFF"/>
      <x:name val="Carlito"/>
    </x:font>
    <x:font>
      <x:sz val="11"/>
      <x:color rgb="FF78350F"/>
      <x:name val="Carlito"/>
    </x:font>
    <x:font>
      <x:b/>
      <x:sz val="11"/>
      <x:color rgb="FF1E3A8A"/>
      <x:name val="Carlito"/>
    </x:font>
    <x:font>
      <x:b/>
      <x:sz val="11"/>
      <x:color rgb="FF1E293B"/>
      <x:name val="Carlito"/>
    </x:font>
    <x:font>
      <x:b/>
      <x:sz val="11"/>
      <x:color rgb="FF065F46"/>
      <x:name val="Carlito"/>
    </x:font>
    <x:font>
      <x:b/>
      <x:sz val="11"/>
      <x:color rgb="FF991B1B"/>
      <x:name val="Carlito"/>
    </x:font>
    <x:font>
      <x:b/>
      <x:sz val="11"/>
      <x:color rgb="FF155E75"/>
      <x:name val="Carlito"/>
    </x:font>
    <x:font>
      <x:i/>
      <x:sz val="11"/>
      <x:color rgb="FF64748B"/>
      <x:name val="Carlito"/>
    </x:font>
    <x:font>
      <x:b/>
      <x:sz val="18"/>
      <x:color rgb="FFFFFFFF"/>
      <x:name val="Arial"/>
    </x:font>
    <x:font>
      <x:sz val="11"/>
      <x:color rgb="FF78350F"/>
      <x:name val="Arial"/>
    </x:font>
    <x:font>
      <x:sz val="11"/>
      <x:name val="Arial"/>
    </x:font>
    <x:font>
      <x:b/>
      <x:sz val="11"/>
      <x:color rgb="FF1E3A8A"/>
      <x:name val="Arial"/>
    </x:font>
    <x:font>
      <x:b/>
      <x:sz val="11"/>
      <x:color rgb="FF1E293B"/>
      <x:name val="Arial"/>
    </x:font>
    <x:font>
      <x:b/>
      <x:sz val="11"/>
      <x:color rgb="FF065F46"/>
      <x:name val="Arial"/>
    </x:font>
    <x:font>
      <x:b/>
      <x:sz val="11"/>
      <x:color rgb="FF991B1B"/>
      <x:name val="Arial"/>
    </x:font>
    <x:font>
      <x:b/>
      <x:sz val="11"/>
      <x:color rgb="FF155E75"/>
      <x:name val="Arial"/>
    </x:font>
    <x:font>
      <x:i/>
      <x:sz val="11"/>
      <x:color rgb="FF64748B"/>
      <x:name val="Arial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b/>
      <x:sz val="14"/>
      <x:color rgb="FFFFFFFF"/>
      <x:name val="Carlito"/>
    </x:font>
    <x:font>
      <x:b/>
      <x:sz val="14"/>
      <x:color rgb="FFFFFFFF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FFFFFF"/>
      </x:patternFill>
    </x:fill>
    <x:fill>
      <x:patternFill patternType="solid">
        <x:fgColor rgb="FFE0F2FE"/>
      </x:patternFill>
    </x:fill>
    <x:fill>
      <x:patternFill patternType="solid">
        <x:fgColor rgb="FFF8FAFC"/>
      </x:patternFill>
    </x:fill>
    <x:fill>
      <x:patternFill patternType="solid">
        <x:fgColor rgb="FFFFF7ED"/>
      </x:patternFill>
    </x:fill>
    <x:fill>
      <x:patternFill patternType="solid">
        <x:fgColor rgb="FFF5F3FF"/>
      </x:patternFill>
    </x:fill>
    <x:fill>
      <x:patternFill patternType="solid">
        <x:fgColor rgb="FFFEF2F2"/>
      </x:patternFill>
    </x:fill>
    <x:fill>
      <x:patternFill patternType="solid">
        <x:fgColor rgb="FFECFDF5"/>
      </x:patternFill>
    </x:fill>
    <x:fill>
      <x:patternFill patternType="solid">
        <x:fgColor rgb="FFE0E7FF"/>
      </x:patternFill>
    </x:fill>
    <x:fill>
      <x:patternFill patternType="solid">
        <x:fgColor rgb="FFFEE2E2"/>
      </x:patternFill>
    </x:fill>
    <x:fill>
      <x:patternFill patternType="solid">
        <x:fgColor rgb="FFCFFAFE"/>
      </x:patternFill>
    </x:fill>
    <x:fill>
      <x:patternFill patternType="solid">
        <x:fgColor rgb="FF0F766E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horizontal="center"/>
    </x:xf>
    <x:xf numFmtId="200" fontId="0" fillId="6" borderId="2" xfId="0" applyNumberFormat="1" applyFont="1" applyFill="1" applyBorder="1" applyAlignment="1">
      <x:alignment horizontal="center"/>
    </x:xf>
    <x:xf numFmtId="201" fontId="0" fillId="6" borderId="2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2" xfId="0" applyNumberFormat="1" applyFont="1" applyFill="1" applyBorder="1" applyAlignment="1">
      <x:alignment horizontal="center"/>
    </x:xf>
    <x:xf numFmtId="200" fontId="0" fillId="7" borderId="2" xfId="0" applyNumberFormat="1" applyFont="1" applyFill="1" applyBorder="1" applyAlignment="1">
      <x:alignment horizontal="center"/>
    </x:xf>
    <x:xf numFmtId="201" fontId="0" fillId="7" borderId="2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0" fillId="8" borderId="2" xfId="0" applyNumberFormat="1" applyFont="1" applyFill="1" applyBorder="1"/>
    <x:xf numFmtId="0" fontId="0" fillId="8" borderId="2" xfId="0" applyNumberFormat="1" applyFont="1" applyFill="1" applyBorder="1" applyAlignment="1">
      <x:alignment horizontal="center"/>
    </x:xf>
    <x:xf numFmtId="200" fontId="0" fillId="8" borderId="2" xfId="0" applyNumberFormat="1" applyFont="1" applyFill="1" applyBorder="1" applyAlignment="1">
      <x:alignment horizontal="center"/>
    </x:xf>
    <x:xf numFmtId="201" fontId="0" fillId="8" borderId="2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0" fillId="9" borderId="2" xfId="0" applyNumberFormat="1" applyFont="1" applyFill="1" applyBorder="1"/>
    <x:xf numFmtId="0" fontId="0" fillId="9" borderId="2" xfId="0" applyNumberFormat="1" applyFont="1" applyFill="1" applyBorder="1" applyAlignment="1">
      <x:alignment horizontal="center"/>
    </x:xf>
    <x:xf numFmtId="200" fontId="0" fillId="9" borderId="2" xfId="0" applyNumberFormat="1" applyFont="1" applyFill="1" applyBorder="1" applyAlignment="1">
      <x:alignment horizontal="center"/>
    </x:xf>
    <x:xf numFmtId="201" fontId="0" fillId="9" borderId="2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0" fillId="10" borderId="2" xfId="0" applyNumberFormat="1" applyFont="1" applyFill="1" applyBorder="1"/>
    <x:xf numFmtId="0" fontId="0" fillId="10" borderId="2" xfId="0" applyNumberFormat="1" applyFont="1" applyFill="1" applyBorder="1" applyAlignment="1">
      <x:alignment horizontal="center"/>
    </x:xf>
    <x:xf numFmtId="200" fontId="0" fillId="10" borderId="2" xfId="0" applyNumberFormat="1" applyFont="1" applyFill="1" applyBorder="1" applyAlignment="1">
      <x:alignment horizontal="center"/>
    </x:xf>
    <x:xf numFmtId="201" fontId="0" fillId="10" borderId="2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horizontal="center"/>
    </x:xf>
    <x:xf numFmtId="200" fontId="0" fillId="11" borderId="2" xfId="0" applyNumberFormat="1" applyFont="1" applyFill="1" applyBorder="1" applyAlignment="1">
      <x:alignment horizontal="center"/>
    </x:xf>
    <x:xf numFmtId="201" fontId="0" fillId="11" borderId="2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2" xfId="0" applyNumberFormat="1" applyFont="1" applyFill="1" applyBorder="1"/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2" xfId="0" applyNumberFormat="1" applyFont="1" applyFill="1" applyBorder="1"/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2" xfId="0" applyNumberFormat="1" applyFont="1" applyFill="1" applyBorder="1"/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2" xfId="0" applyNumberFormat="1" applyFont="1" applyFill="1" applyBorder="1"/>
    <x:xf numFmtId="200" fontId="5" fillId="12" borderId="2" xfId="0" applyNumberFormat="1" applyFont="1" applyFill="1" applyBorder="1"/>
    <x:xf numFmtId="201" fontId="5" fillId="12" borderId="2" xfId="0" applyNumberFormat="1" applyFont="1" applyFill="1" applyBorder="1"/>
    <x:xf numFmtId="200" fontId="5" fillId="12" borderId="2" xfId="0" applyNumberFormat="1" applyFont="1" applyFill="1" applyBorder="1" applyAlignment="1">
      <x:alignment horizontal="center"/>
    </x:xf>
    <x:xf numFmtId="201" fontId="5" fillId="12" borderId="2" xfId="0" applyNumberFormat="1" applyFont="1" applyFill="1" applyBorder="1" applyAlignment="1">
      <x:alignment horizontal="center"/>
    </x:xf>
    <x:xf numFmtId="200" fontId="3" fillId="13" borderId="2" xfId="0" applyNumberFormat="1" applyFont="1" applyFill="1" applyBorder="1"/>
    <x:xf numFmtId="201" fontId="3" fillId="13" borderId="2" xfId="0" applyNumberFormat="1" applyFont="1" applyFill="1" applyBorder="1"/>
    <x:xf numFmtId="200" fontId="3" fillId="13" borderId="2" xfId="0" applyNumberFormat="1" applyFont="1" applyFill="1" applyBorder="1" applyAlignment="1">
      <x:alignment horizontal="center"/>
    </x:xf>
    <x:xf numFmtId="201" fontId="3" fillId="13" borderId="2" xfId="0" applyNumberFormat="1" applyFont="1" applyFill="1" applyBorder="1" applyAlignment="1">
      <x:alignment horizontal="center"/>
    </x:xf>
    <x:xf numFmtId="200" fontId="6" fillId="14" borderId="2" xfId="0" applyNumberFormat="1" applyFont="1" applyFill="1" applyBorder="1"/>
    <x:xf numFmtId="201" fontId="6" fillId="14" borderId="2" xfId="0" applyNumberFormat="1" applyFont="1" applyFill="1" applyBorder="1"/>
    <x:xf numFmtId="200" fontId="6" fillId="14" borderId="2" xfId="0" applyNumberFormat="1" applyFont="1" applyFill="1" applyBorder="1" applyAlignment="1">
      <x:alignment horizontal="center"/>
    </x:xf>
    <x:xf numFmtId="201" fontId="6" fillId="14" borderId="2" xfId="0" applyNumberFormat="1" applyFont="1" applyFill="1" applyBorder="1" applyAlignment="1">
      <x:alignment horizontal="center"/>
    </x:xf>
    <x:xf numFmtId="200" fontId="7" fillId="15" borderId="2" xfId="0" applyNumberFormat="1" applyFont="1" applyFill="1" applyBorder="1"/>
    <x:xf numFmtId="201" fontId="7" fillId="15" borderId="2" xfId="0" applyNumberFormat="1" applyFont="1" applyFill="1" applyBorder="1"/>
    <x:xf numFmtId="200" fontId="7" fillId="15" borderId="2" xfId="0" applyNumberFormat="1" applyFont="1" applyFill="1" applyBorder="1" applyAlignment="1">
      <x:alignment horizontal="center"/>
    </x:xf>
    <x:xf numFmtId="201" fontId="7" fillId="15" borderId="2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2" fillId="4" borderId="1" xfId="0" applyNumberFormat="1" applyFont="1" applyFill="1" applyBorder="1" applyAlignment="1">
      <x:alignment horizontal="center" vertical="center"/>
    </x:xf>
    <x:xf numFmtId="0" fontId="13" fillId="5" borderId="1" xfId="0" applyNumberFormat="1" applyFont="1" applyFill="1" applyBorder="1" applyAlignment="1">
      <x:alignment horizontal="center" vertical="center"/>
    </x:xf>
    <x:xf numFmtId="0" fontId="13" fillId="6" borderId="2" xfId="0" applyNumberFormat="1" applyFont="1" applyFill="1" applyBorder="1"/>
    <x:xf numFmtId="200" fontId="11" fillId="6" borderId="2" xfId="0" applyNumberFormat="1" applyFont="1" applyFill="1" applyBorder="1" applyAlignment="1">
      <x:alignment horizontal="center"/>
    </x:xf>
    <x:xf numFmtId="201" fontId="11" fillId="6" borderId="2" xfId="0" applyNumberFormat="1" applyFont="1" applyFill="1" applyBorder="1" applyAlignment="1">
      <x:alignment horizontal="center"/>
    </x:xf>
    <x:xf numFmtId="200" fontId="11" fillId="7" borderId="2" xfId="0" applyNumberFormat="1" applyFont="1" applyFill="1" applyBorder="1" applyAlignment="1">
      <x:alignment horizontal="center"/>
    </x:xf>
    <x:xf numFmtId="201" fontId="11" fillId="7" borderId="2" xfId="0" applyNumberFormat="1" applyFont="1" applyFill="1" applyBorder="1" applyAlignment="1">
      <x:alignment horizontal="center"/>
    </x:xf>
    <x:xf numFmtId="0" fontId="13" fillId="8" borderId="2" xfId="0" applyNumberFormat="1" applyFont="1" applyFill="1" applyBorder="1"/>
    <x:xf numFmtId="200" fontId="11" fillId="8" borderId="2" xfId="0" applyNumberFormat="1" applyFont="1" applyFill="1" applyBorder="1" applyAlignment="1">
      <x:alignment horizontal="center"/>
    </x:xf>
    <x:xf numFmtId="201" fontId="11" fillId="8" borderId="2" xfId="0" applyNumberFormat="1" applyFont="1" applyFill="1" applyBorder="1" applyAlignment="1">
      <x:alignment horizontal="center"/>
    </x:xf>
    <x:xf numFmtId="200" fontId="11" fillId="9" borderId="2" xfId="0" applyNumberFormat="1" applyFont="1" applyFill="1" applyBorder="1" applyAlignment="1">
      <x:alignment horizontal="center"/>
    </x:xf>
    <x:xf numFmtId="201" fontId="11" fillId="9" borderId="2" xfId="0" applyNumberFormat="1" applyFont="1" applyFill="1" applyBorder="1" applyAlignment="1">
      <x:alignment horizontal="center"/>
    </x:xf>
    <x:xf numFmtId="200" fontId="11" fillId="10" borderId="2" xfId="0" applyNumberFormat="1" applyFont="1" applyFill="1" applyBorder="1" applyAlignment="1">
      <x:alignment horizontal="center"/>
    </x:xf>
    <x:xf numFmtId="201" fontId="11" fillId="10" borderId="2" xfId="0" applyNumberFormat="1" applyFont="1" applyFill="1" applyBorder="1" applyAlignment="1">
      <x:alignment horizontal="center"/>
    </x:xf>
    <x:xf numFmtId="200" fontId="11" fillId="11" borderId="2" xfId="0" applyNumberFormat="1" applyFont="1" applyFill="1" applyBorder="1" applyAlignment="1">
      <x:alignment horizontal="center"/>
    </x:xf>
    <x:xf numFmtId="201" fontId="11" fillId="11" borderId="2" xfId="0" applyNumberFormat="1" applyFont="1" applyFill="1" applyBorder="1" applyAlignment="1">
      <x:alignment horizontal="center"/>
    </x:xf>
    <x:xf numFmtId="0" fontId="14" fillId="12" borderId="2" xfId="0" applyNumberFormat="1" applyFont="1" applyFill="1" applyBorder="1"/>
    <x:xf numFmtId="200" fontId="14" fillId="12" borderId="2" xfId="0" applyNumberFormat="1" applyFont="1" applyFill="1" applyBorder="1" applyAlignment="1">
      <x:alignment horizontal="center"/>
    </x:xf>
    <x:xf numFmtId="201" fontId="14" fillId="12" borderId="2" xfId="0" applyNumberFormat="1" applyFont="1" applyFill="1" applyBorder="1" applyAlignment="1">
      <x:alignment horizontal="center"/>
    </x:xf>
    <x:xf numFmtId="0" fontId="12" fillId="13" borderId="2" xfId="0" applyNumberFormat="1" applyFont="1" applyFill="1" applyBorder="1"/>
    <x:xf numFmtId="200" fontId="12" fillId="13" borderId="2" xfId="0" applyNumberFormat="1" applyFont="1" applyFill="1" applyBorder="1" applyAlignment="1">
      <x:alignment horizontal="center"/>
    </x:xf>
    <x:xf numFmtId="201" fontId="12" fillId="13" borderId="2" xfId="0" applyNumberFormat="1" applyFont="1" applyFill="1" applyBorder="1" applyAlignment="1">
      <x:alignment horizontal="center"/>
    </x:xf>
    <x:xf numFmtId="0" fontId="15" fillId="14" borderId="2" xfId="0" applyNumberFormat="1" applyFont="1" applyFill="1" applyBorder="1"/>
    <x:xf numFmtId="200" fontId="15" fillId="14" borderId="2" xfId="0" applyNumberFormat="1" applyFont="1" applyFill="1" applyBorder="1" applyAlignment="1">
      <x:alignment horizontal="center"/>
    </x:xf>
    <x:xf numFmtId="201" fontId="15" fillId="14" borderId="2" xfId="0" applyNumberFormat="1" applyFont="1" applyFill="1" applyBorder="1" applyAlignment="1">
      <x:alignment horizontal="center"/>
    </x:xf>
    <x:xf numFmtId="0" fontId="16" fillId="15" borderId="2" xfId="0" applyNumberFormat="1" applyFont="1" applyFill="1" applyBorder="1"/>
    <x:xf numFmtId="200" fontId="16" fillId="15" borderId="2" xfId="0" applyNumberFormat="1" applyFont="1" applyFill="1" applyBorder="1" applyAlignment="1">
      <x:alignment horizontal="center"/>
    </x:xf>
    <x:xf numFmtId="201" fontId="16" fillId="15" borderId="2" xfId="0" applyNumberFormat="1" applyFont="1" applyFill="1" applyBorder="1" applyAlignment="1">
      <x:alignment horizontal="center"/>
    </x:xf>
    <x:xf numFmtId="0" fontId="17" fillId="8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8" fillId="16" borderId="0" xfId="0" applyNumberFormat="1" applyFont="1" applyFill="1" applyBorder="1"/>
    <x:xf numFmtId="0" fontId="18" fillId="16" borderId="2" xfId="0" applyNumberFormat="1" applyFont="1" applyFill="1" applyBorder="1"/>
    <x:xf numFmtId="0" fontId="18" fillId="16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19" fillId="16" borderId="2" xfId="0" applyNumberFormat="1" applyFont="1" applyFill="1" applyBorder="1" applyAlignment="1">
      <x:alignment horizontal="center"/>
    </x:xf>
    <x:xf numFmtId="0" fontId="11" fillId="0" borderId="2" xfId="0" applyNumberFormat="1" applyFont="1" applyFill="1" applyBorder="1" applyAlignment="1">
      <x:alignment vertical="center"/>
    </x:xf>
    <x:xf numFmtId="202" fontId="11" fillId="0" borderId="2" xfId="0" applyNumberFormat="1" applyFont="1" applyFill="1" applyBorder="1" applyAlignment="1">
      <x:alignment vertical="center"/>
    </x:xf>
    <x:xf numFmtId="201" fontId="11" fillId="0" borderId="2" xfId="0" applyNumberFormat="1" applyFont="1" applyFill="1" applyBorder="1" applyAlignment="1">
      <x:alignment vertical="center"/>
    </x:xf>
    <x:xf numFmtId="0" fontId="11" fillId="0" borderId="2" xfId="0" applyNumberFormat="1" applyFont="1" applyFill="1" applyBorder="1" applyAlignment="1">
      <x:alignment vertical="center" wrapText="1"/>
    </x:xf>
    <x:xf numFmtId="0" fontId="20" fillId="2" borderId="0" xfId="0" applyNumberFormat="1" applyFont="1" applyFill="1" applyBorder="1"/>
    <x:xf numFmtId="0" fontId="20" fillId="2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21" fillId="2" borderId="0" xfId="0" applyNumberFormat="1" applyFont="1" applyFill="1" applyBorder="1" applyAlignment="1">
      <x:alignment vertical="center"/>
    </x:xf>
    <x:xf numFmtId="0" fontId="11" fillId="0" borderId="2" xfId="0" applyNumberFormat="1" applyFont="1" applyFill="1" applyBorder="1" applyAlignment="1">
      <x:alignment vertical="top" wrapText="1"/>
    </x:xf>
    <x:xf numFmtId="0" fontId="11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798c31726d46e1" /><Relationship Type="http://schemas.openxmlformats.org/officeDocument/2006/relationships/theme" Target="/xl/theme/theme1.xml" Id="Rf6b6be75849e410b" /><Relationship Type="http://schemas.openxmlformats.org/officeDocument/2006/relationships/sharedStrings" Target="/xl/sharedStrings.xml" Id="Rd3d50b3985334cbe" /><Relationship Type="http://schemas.openxmlformats.org/officeDocument/2006/relationships/worksheet" Target="/xl/worksheets/sheet1.xml" Id="R4e778c7458f3495f" /><Relationship Type="http://schemas.openxmlformats.org/officeDocument/2006/relationships/worksheet" Target="/xl/worksheets/sheet2.xml" Id="R80abf0ad1e85430d" /><Relationship Type="http://schemas.openxmlformats.org/officeDocument/2006/relationships/worksheet" Target="/xl/worksheets/sheet3.xml" Id="Rd933d829a44c48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</x:cols>
  <x:sheetData>
    <x:row r="1" ht="32" customHeight="1">
      <x:c r="A1" s="82" t="str">
        <x:v>IDC口径手机出货｜全球 / 中国 / 海外｜25Q1–26Q2 + 半年汇总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  <x:c r="P1" s="82"/>
      <x:c r="Q1" s="82"/>
      <x:c r="R1" s="82"/>
      <x:c r="S1" s="82"/>
    </x:row>
    <x:row r="2" ht="34" customHeight="1">
      <x:c r="A2" s="83" t="str">
        <x:v>全球取 IDC 公开全量；中国取用户确认准确的看板总量；海外 = 全球 − 中国。半年出货为两季度之和，半年 YoY 与上年同期两季度合计比较。单位：百万部（M）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  <x:c r="O2" s="83"/>
      <x:c r="P2" s="83"/>
      <x:c r="Q2" s="83"/>
      <x:c r="R2" s="83"/>
      <x:c r="S2" s="83"/>
    </x:row>
    <x:row r="3">
      <x:c r="A3" s="84"/>
      <x:c r="B3" s="84"/>
      <x:c r="C3" s="84"/>
      <x:c r="D3" s="84"/>
      <x:c r="E3" s="84"/>
      <x:c r="F3" s="84"/>
      <x:c r="G3" s="84"/>
      <x:c r="H3" s="84"/>
      <x:c r="I3" s="84"/>
      <x:c r="J3" s="84"/>
      <x:c r="K3" s="84"/>
      <x:c r="L3" s="84"/>
      <x:c r="M3" s="84"/>
      <x:c r="N3" s="84"/>
      <x:c r="O3" s="84"/>
      <x:c r="P3" s="84"/>
      <x:c r="Q3" s="84"/>
      <x:c r="R3" s="84"/>
      <x:c r="S3" s="84"/>
    </x:row>
    <x:row r="4" ht="24" customHeight="1">
      <x:c r="A4" s="85" t="str">
        <x:v>厂商</x:v>
      </x:c>
      <x:c r="B4" s="85" t="str">
        <x:v>25Q1</x:v>
      </x:c>
      <x:c r="C4" s="85"/>
      <x:c r="D4" s="85" t="str">
        <x:v>25Q2</x:v>
      </x:c>
      <x:c r="E4" s="85"/>
      <x:c r="F4" s="85" t="str">
        <x:v>25Q3</x:v>
      </x:c>
      <x:c r="G4" s="85"/>
      <x:c r="H4" s="85" t="str">
        <x:v>25Q4</x:v>
      </x:c>
      <x:c r="I4" s="85"/>
      <x:c r="J4" s="85" t="str">
        <x:v>26Q1</x:v>
      </x:c>
      <x:c r="K4" s="85"/>
      <x:c r="L4" s="85" t="str">
        <x:v>26Q2</x:v>
      </x:c>
      <x:c r="M4" s="85"/>
      <x:c r="N4" s="85" t="str">
        <x:v>25H1</x:v>
      </x:c>
      <x:c r="O4" s="85"/>
      <x:c r="P4" s="85" t="str">
        <x:v>25H2</x:v>
      </x:c>
      <x:c r="Q4" s="85"/>
      <x:c r="R4" s="85" t="str">
        <x:v>26H1</x:v>
      </x:c>
      <x:c r="S4" s="85"/>
    </x:row>
    <x:row r="5" ht="24" customHeight="1">
      <x:c r="A5" s="85"/>
      <x:c r="B5" s="86" t="str">
        <x:v>出货量(M)</x:v>
      </x:c>
      <x:c r="C5" s="86" t="str">
        <x:v>YoY</x:v>
      </x:c>
      <x:c r="D5" s="86" t="str">
        <x:v>出货量(M)</x:v>
      </x:c>
      <x:c r="E5" s="86" t="str">
        <x:v>YoY</x:v>
      </x:c>
      <x:c r="F5" s="86" t="str">
        <x:v>出货量(M)</x:v>
      </x:c>
      <x:c r="G5" s="86" t="str">
        <x:v>YoY</x:v>
      </x:c>
      <x:c r="H5" s="86" t="str">
        <x:v>出货量(M)</x:v>
      </x:c>
      <x:c r="I5" s="86" t="str">
        <x:v>YoY</x:v>
      </x:c>
      <x:c r="J5" s="86" t="str">
        <x:v>出货量(M)</x:v>
      </x:c>
      <x:c r="K5" s="86" t="str">
        <x:v>YoY</x:v>
      </x:c>
      <x:c r="L5" s="86" t="str">
        <x:v>出货量(M)</x:v>
      </x:c>
      <x:c r="M5" s="86" t="str">
        <x:v>YoY</x:v>
      </x:c>
      <x:c r="N5" s="86" t="str">
        <x:v>出货量(M)</x:v>
      </x:c>
      <x:c r="O5" s="86" t="str">
        <x:v>YoY</x:v>
      </x:c>
      <x:c r="P5" s="86" t="str">
        <x:v>出货量(M)</x:v>
      </x:c>
      <x:c r="Q5" s="86" t="str">
        <x:v>YoY</x:v>
      </x:c>
      <x:c r="R5" s="86" t="str">
        <x:v>出货量(M)</x:v>
      </x:c>
      <x:c r="S5" s="86" t="str">
        <x:v>YoY</x:v>
      </x:c>
    </x:row>
    <x:row r="6" ht="24" customHeight="1">
      <x:c r="A6" s="87" t="str">
        <x:v>Apple</x:v>
      </x:c>
      <x:c r="B6" s="88" t="n">
        <x:f>'计算底稿'!E2</x:f>
        <x:v>49.29</x:v>
      </x:c>
      <x:c r="C6" s="89" t="n">
        <x:f>'计算底稿'!I2</x:f>
        <x:v>0.17890456828509915</x:v>
      </x:c>
      <x:c r="D6" s="88" t="n">
        <x:f>'计算底稿'!E3</x:f>
        <x:v>38.81</x:v>
      </x:c>
      <x:c r="E6" s="89" t="n">
        <x:f>'计算底稿'!I3</x:f>
        <x:v>0.0786548082267926</x:v>
      </x:c>
      <x:c r="F6" s="88" t="n">
        <x:f>'计算底稿'!E4</x:f>
        <x:v>48.61</x:v>
      </x:c>
      <x:c r="G6" s="89" t="n">
        <x:f>'计算底稿'!I4</x:f>
        <x:v>0.04808106942647683</x:v>
      </x:c>
      <x:c r="H6" s="88" t="n">
        <x:f>'计算底稿'!E5</x:f>
        <x:v>65.28</x:v>
      </x:c>
      <x:c r="I6" s="89" t="n">
        <x:f>'计算底稿'!I5</x:f>
        <x:v>0.015083190794588752</x:v>
      </x:c>
      <x:c r="J6" s="88" t="n">
        <x:f>'计算底稿'!E6</x:f>
        <x:v>49.019999999999996</x:v>
      </x:c>
      <x:c r="K6" s="89" t="n">
        <x:f>'计算底稿'!I6</x:f>
        <x:v>-0.005477784540474762</x:v>
      </x:c>
      <x:c r="L6" s="88" t="n">
        <x:f>'计算底稿'!E7</x:f>
        <x:v>43.87</x:v>
      </x:c>
      <x:c r="M6" s="89" t="n">
        <x:f>'计算底稿'!I7</x:f>
        <x:v>0.13037876835867035</x:v>
      </x:c>
      <x:c r="N6" s="90" t="n">
        <x:f>SUM(B6,D6)</x:f>
        <x:v>88.1</x:v>
      </x:c>
      <x:c r="O6" s="91" t="n">
        <x:f>IF(SUM('计算底稿'!H2,'计算底稿'!H3)=0,"",N6/SUM('计算底稿'!H2,'计算底稿'!H3)-1)</x:f>
        <x:v>0.1325363157218149</x:v>
      </x:c>
      <x:c r="P6" s="90" t="n">
        <x:f>SUM(F6,H6)</x:f>
        <x:v>113.89</x:v>
      </x:c>
      <x:c r="Q6" s="91" t="n">
        <x:f>IF(SUM('计算底稿'!H4,'计算底稿'!H5)=0,"",P6/SUM('计算底稿'!H4,'计算底稿'!H5)-1)</x:f>
        <x:v>0.028909567259915114</x:v>
      </x:c>
      <x:c r="R6" s="90" t="n">
        <x:f>SUM(J6,L6)</x:f>
        <x:v>92.88999999999999</x:v>
      </x:c>
      <x:c r="S6" s="91" t="n">
        <x:f>IF(SUM(B6,D6)=0,"",R6/SUM(B6,D6)-1)</x:f>
        <x:v>0.0543700340522133</x:v>
      </x:c>
    </x:row>
    <x:row r="7" ht="24" customHeight="1">
      <x:c r="A7" s="92" t="str">
        <x:v>Samsung</x:v>
      </x:c>
      <x:c r="B7" s="93" t="n">
        <x:f>'计算底稿'!E8</x:f>
        <x:v>60.1</x:v>
      </x:c>
      <x:c r="C7" s="94" t="n">
        <x:f>'计算底稿'!I8</x:f>
        <x:v>0.00670016750418756</x:v>
      </x:c>
      <x:c r="D7" s="93" t="n">
        <x:f>'计算底稿'!E9</x:f>
        <x:v>57.6</x:v>
      </x:c>
      <x:c r="E7" s="94" t="n">
        <x:f>'计算底稿'!I9</x:f>
        <x:v>0.08067542213883683</x:v>
      </x:c>
      <x:c r="F7" s="93" t="n">
        <x:f>'计算底稿'!E10</x:f>
        <x:v>61</x:v>
      </x:c>
      <x:c r="G7" s="94" t="n">
        <x:f>'计算底稿'!I10</x:f>
        <x:v>0.06643356643356646</x:v>
      </x:c>
      <x:c r="H7" s="93" t="n">
        <x:f>'计算底稿'!E11</x:f>
        <x:v>60.800000000000004</x:v>
      </x:c>
      <x:c r="I7" s="94" t="n">
        <x:f>'计算底稿'!I11</x:f>
        <x:v>0.18518518518518512</x:v>
      </x:c>
      <x:c r="J7" s="93" t="n">
        <x:f>'计算底稿'!E12</x:f>
        <x:v>62</x:v>
      </x:c>
      <x:c r="K7" s="94" t="n">
        <x:f>'计算底稿'!I12</x:f>
        <x:v>0.03161397670549082</x:v>
      </x:c>
      <x:c r="L7" s="93" t="n">
        <x:f>'计算底稿'!E13</x:f>
        <x:v>62.35</x:v>
      </x:c>
      <x:c r="M7" s="94" t="n">
        <x:f>'计算底稿'!I13</x:f>
        <x:v>0.08246527777777768</x:v>
      </x:c>
      <x:c r="N7" s="90" t="n">
        <x:f>SUM(B7,D7)</x:f>
        <x:v>117.7</x:v>
      </x:c>
      <x:c r="O7" s="91" t="n">
        <x:f>IF(SUM('计算底稿'!H8,'计算底稿'!H9)=0,"",N7/SUM('计算底稿'!H8,'计算底稿'!H9)-1)</x:f>
        <x:v>0.04159292035398243</x:v>
      </x:c>
      <x:c r="P7" s="90" t="n">
        <x:f>SUM(F7,H7)</x:f>
        <x:v>121.80000000000001</x:v>
      </x:c>
      <x:c r="Q7" s="91" t="n">
        <x:f>IF(SUM('计算底稿'!H10,'计算底稿'!H11)=0,"",P7/SUM('计算底稿'!H10,'计算底稿'!H11)-1)</x:f>
        <x:v>0.12258064516129052</x:v>
      </x:c>
      <x:c r="R7" s="90" t="n">
        <x:f>SUM(J7,L7)</x:f>
        <x:v>124.35</x:v>
      </x:c>
      <x:c r="S7" s="91" t="n">
        <x:f>IF(SUM(B7,D7)=0,"",R7/SUM(B7,D7)-1)</x:f>
        <x:v>0.05649957519116389</x:v>
      </x:c>
    </x:row>
    <x:row r="8" ht="24" customHeight="1">
      <x:c r="A8" s="87" t="str">
        <x:v>Xiaomi</x:v>
      </x:c>
      <x:c r="B8" s="88" t="n">
        <x:f>'计算底稿'!E14</x:f>
        <x:v>28.459999999999997</x:v>
      </x:c>
      <x:c r="C8" s="89" t="n">
        <x:f>'计算底稿'!I14</x:f>
        <x:v>-0.08957133717210497</x:v>
      </x:c>
      <x:c r="D8" s="88" t="n">
        <x:f>'计算底稿'!E15</x:f>
        <x:v>31.96</x:v>
      </x:c>
      <x:c r="E8" s="89" t="n">
        <x:f>'计算底稿'!I15</x:f>
        <x:v>-0.007761564731449622</x:v>
      </x:c>
      <x:c r="F8" s="88" t="n">
        <x:f>'计算底稿'!E16</x:f>
        <x:v>33.349999999999994</x:v>
      </x:c>
      <x:c r="G8" s="89" t="n">
        <x:f>'计算底稿'!I16</x:f>
        <x:v>0.023320036821110612</x:v>
      </x:c>
      <x:c r="H8" s="88" t="n">
        <x:f>'计算底稿'!E17</x:f>
        <x:v>27.779999999999998</x:v>
      </x:c>
      <x:c r="I8" s="89" t="n">
        <x:f>'计算底稿'!I17</x:f>
        <x:v>-0.08918032786885266</x:v>
      </x:c>
      <x:c r="J8" s="88" t="n">
        <x:f>'计算底稿'!E18</x:f>
        <x:v>25.199999999999996</x:v>
      </x:c>
      <x:c r="K8" s="89" t="n">
        <x:f>'计算底稿'!I18</x:f>
        <x:v>-0.1145467322557977</x:v>
      </x:c>
      <x:c r="L8" s="88" t="n">
        <x:f>'计算底稿'!E19</x:f>
        <x:v>23.02</x:v>
      </x:c>
      <x:c r="M8" s="89" t="n">
        <x:f>'计算底稿'!I19</x:f>
        <x:v>-0.2797246558197748</x:v>
      </x:c>
      <x:c r="N8" s="90" t="n">
        <x:f>SUM(B8,D8)</x:f>
        <x:v>60.42</x:v>
      </x:c>
      <x:c r="O8" s="91" t="n">
        <x:f>IF(SUM('计算底稿'!H14,'计算底稿'!H15)=0,"",N8/SUM('计算底稿'!H14,'计算底稿'!H15)-1)</x:f>
        <x:v>-0.048054198834094675</x:v>
      </x:c>
      <x:c r="P8" s="90" t="n">
        <x:f>SUM(F8,H8)</x:f>
        <x:v>61.129999999999995</x:v>
      </x:c>
      <x:c r="Q8" s="91" t="n">
        <x:f>IF(SUM('计算底稿'!H16,'计算底稿'!H17)=0,"",P8/SUM('计算底稿'!H16,'计算底稿'!H17)-1)</x:f>
        <x:v>-0.031066730068156745</x:v>
      </x:c>
      <x:c r="R8" s="90" t="n">
        <x:f>SUM(J8,L8)</x:f>
        <x:v>48.22</x:v>
      </x:c>
      <x:c r="S8" s="91" t="n">
        <x:f>IF(SUM(B8,D8)=0,"",R8/SUM(B8,D8)-1)</x:f>
        <x:v>-0.2019198940748097</x:v>
      </x:c>
    </x:row>
    <x:row r="9" ht="24" customHeight="1">
      <x:c r="A9" s="92" t="str">
        <x:v>Honor</x:v>
      </x:c>
      <x:c r="B9" s="95" t="n">
        <x:f>'计算底稿'!E20</x:f>
        <x:v>7.16</x:v>
      </x:c>
      <x:c r="C9" s="96" t="n">
        <x:f>'计算底稿'!I20</x:f>
        <x:v>2.299539170506913</x:v>
      </x:c>
      <x:c r="D9" s="95" t="n">
        <x:f>'计算底稿'!E21</x:f>
        <x:v>8.79</x:v>
      </x:c>
      <x:c r="E9" s="96" t="n">
        <x:f>'计算底稿'!I21</x:f>
        <x:v>1.79936305732484</x:v>
      </x:c>
      <x:c r="F9" s="95" t="n">
        <x:f>'计算底稿'!E22</x:f>
        <x:v>7.609999999999999</x:v>
      </x:c>
      <x:c r="G9" s="96" t="n">
        <x:f>'计算底稿'!I22</x:f>
        <x:v>1.5709459459459452</x:v>
      </x:c>
      <x:c r="H9" s="95" t="n">
        <x:f>'计算底稿'!E23</x:f>
        <x:v>7.119999999999999</x:v>
      </x:c>
      <x:c r="I9" s="96" t="n">
        <x:f>'计算底稿'!I23</x:f>
        <x:v>1.4054054054054044</x:v>
      </x:c>
      <x:c r="J9" s="97" t="n">
        <x:f>'计算底稿'!E24</x:f>
        <x:v>11.34</x:v>
      </x:c>
      <x:c r="K9" s="98" t="n">
        <x:f>'计算底稿'!I24</x:f>
        <x:v>0.5837988826815641</x:v>
      </x:c>
      <x:c r="L9" s="95" t="n">
        <x:f>'计算底稿'!E25</x:f>
        <x:v>12.07</x:v>
      </x:c>
      <x:c r="M9" s="96" t="n">
        <x:f>'计算底稿'!I25</x:f>
        <x:v>0.37315130830489207</x:v>
      </x:c>
      <x:c r="N9" s="95" t="n">
        <x:f>SUM(B9,D9)</x:f>
        <x:v>15.95</x:v>
      </x:c>
      <x:c r="O9" s="96" t="n">
        <x:f>IF(SUM('计算底稿'!H20,'计算底稿'!H21)=0,"",N9/SUM('计算底稿'!H20,'计算底稿'!H21)-1)</x:f>
        <x:v>2.003766478342749</x:v>
      </x:c>
      <x:c r="P9" s="95" t="n">
        <x:f>SUM(F9,H9)</x:f>
        <x:v>14.729999999999999</x:v>
      </x:c>
      <x:c r="Q9" s="96" t="n">
        <x:f>IF(SUM('计算底稿'!H22,'计算底稿'!H23)=0,"",P9/SUM('计算底稿'!H22,'计算底稿'!H23)-1)</x:f>
        <x:v>1.4881756756756745</x:v>
      </x:c>
      <x:c r="R9" s="95" t="n">
        <x:f>SUM(J9,L9)</x:f>
        <x:v>23.41</x:v>
      </x:c>
      <x:c r="S9" s="96" t="n">
        <x:f>IF(SUM(B9,D9)=0,"",R9/SUM(B9,D9)-1)</x:f>
        <x:v>0.4677115987460816</x:v>
      </x:c>
    </x:row>
    <x:row r="10" ht="24" customHeight="1">
      <x:c r="A10" s="87" t="str">
        <x:v>vivo</x:v>
      </x:c>
      <x:c r="B10" s="88" t="n">
        <x:f>'计算底稿'!E26</x:f>
        <x:v>12.36</x:v>
      </x:c>
      <x:c r="C10" s="89" t="n">
        <x:f>'计算底稿'!I26</x:f>
        <x:v>0.10455764075067009</x:v>
      </x:c>
      <x:c r="D10" s="88" t="n">
        <x:f>'计算底稿'!E27</x:f>
        <x:v>14.38</x:v>
      </x:c>
      <x:c r="E10" s="89" t="n">
        <x:f>'计算底稿'!I27</x:f>
        <x:v>0.13765822784810133</x:v>
      </x:c>
      <x:c r="F10" s="88" t="n">
        <x:f>'计算底稿'!E28</x:f>
        <x:v>16.089999999999996</x:v>
      </x:c>
      <x:c r="G10" s="89" t="n">
        <x:f>'计算底稿'!I28</x:f>
        <x:v>0.1338971106412965</x:v>
      </x:c>
      <x:c r="H10" s="88" t="n">
        <x:f>'计算底稿'!E29</x:f>
        <x:v>14.97</x:v>
      </x:c>
      <x:c r="I10" s="89" t="n">
        <x:f>'计算底稿'!I29</x:f>
        <x:v>0.07388809182209455</x:v>
      </x:c>
      <x:c r="J10" s="88" t="n">
        <x:f>'计算底稿'!E30</x:f>
        <x:v>10.739999999999998</x:v>
      </x:c>
      <x:c r="K10" s="89" t="n">
        <x:f>'计算底稿'!I30</x:f>
        <x:v>-0.1310679611650486</x:v>
      </x:c>
      <x:c r="L10" s="88" t="n">
        <x:f>'计算底稿'!E31</x:f>
        <x:v>10.629999999999999</x:v>
      </x:c>
      <x:c r="M10" s="89" t="n">
        <x:f>'计算底稿'!I31</x:f>
        <x:v>-0.2607788595271211</x:v>
      </x:c>
      <x:c r="N10" s="90" t="n">
        <x:f>SUM(B10,D10)</x:f>
        <x:v>26.740000000000002</x:v>
      </x:c>
      <x:c r="O10" s="91" t="n">
        <x:f>IF(SUM('计算底稿'!H26,'计算底稿'!H27)=0,"",N10/SUM('计算底稿'!H26,'计算底稿'!H27)-1)</x:f>
        <x:v>0.1221149811162403</x:v>
      </x:c>
      <x:c r="P10" s="90" t="n">
        <x:f>SUM(F10,H10)</x:f>
        <x:v>31.059999999999995</x:v>
      </x:c>
      <x:c r="Q10" s="91" t="n">
        <x:f>IF(SUM('计算底稿'!H28,'计算底稿'!H29)=0,"",P10/SUM('计算底稿'!H28,'计算底稿'!H29)-1)</x:f>
        <x:v>0.10415926057589742</x:v>
      </x:c>
      <x:c r="R10" s="90" t="n">
        <x:f>SUM(J10,L10)</x:f>
        <x:v>21.369999999999997</x:v>
      </x:c>
      <x:c r="S10" s="91" t="n">
        <x:f>IF(SUM(B10,D10)=0,"",R10/SUM(B10,D10)-1)</x:f>
        <x:v>-0.20082273747195234</x:v>
      </x:c>
    </x:row>
    <x:row r="11" ht="24" customHeight="1">
      <x:c r="A11" s="92" t="str">
        <x:v>OPPO</x:v>
      </x:c>
      <x:c r="B11" s="93" t="n">
        <x:f>'计算底稿'!E32</x:f>
        <x:v>22.11</x:v>
      </x:c>
      <x:c r="C11" s="94" t="n">
        <x:f>'计算底稿'!I32</x:f>
        <x:v>0.6377777777777778</x:v>
      </x:c>
      <x:c r="D11" s="93" t="n">
        <x:f>'计算底稿'!E33</x:f>
        <x:v>23.169999999999998</x:v>
      </x:c>
      <x:c r="E11" s="94" t="n">
        <x:f>'计算底稿'!I33</x:f>
        <x:v>0.44541484716157176</x:v>
      </x:c>
      <x:c r="F11" s="99" t="n">
        <x:f>'计算底稿'!E34</x:f>
        <x:v>15.64</x:v>
      </x:c>
      <x:c r="G11" s="100" t="n">
        <x:f>'计算底稿'!I34</x:f>
        <x:v>0.02692055154300732</x:v>
      </x:c>
      <x:c r="H11" s="99" t="n">
        <x:f>'计算底稿'!E35</x:f>
        <x:v>14.339999999999998</x:v>
      </x:c>
      <x:c r="I11" s="100" t="n">
        <x:f>'计算底稿'!I35</x:f>
        <x:v>0.053637031594415685</x:v>
      </x:c>
      <x:c r="J11" s="93" t="n">
        <x:f>'计算底稿'!E36</x:f>
        <x:v>19.689999999999998</x:v>
      </x:c>
      <x:c r="K11" s="94" t="n">
        <x:f>'计算底稿'!I36</x:f>
        <x:v>-0.10945273631840802</x:v>
      </x:c>
      <x:c r="L11" s="93" t="n">
        <x:f>'计算底稿'!E37</x:f>
        <x:v>18.21</x:v>
      </x:c>
      <x:c r="M11" s="94" t="n">
        <x:f>'计算底稿'!I37</x:f>
        <x:v>-0.21406991799741037</x:v>
      </x:c>
      <x:c r="N11" s="90" t="n">
        <x:f>SUM(B11,D11)</x:f>
        <x:v>45.28</x:v>
      </x:c>
      <x:c r="O11" s="91" t="n">
        <x:f>IF(SUM('计算底稿'!H32,'计算底稿'!H33)=0,"",N11/SUM('计算底稿'!H32,'计算底稿'!H33)-1)</x:f>
        <x:v>0.5333559092448357</x:v>
      </x:c>
      <x:c r="P11" s="99" t="n">
        <x:f>SUM(F11,H11)</x:f>
        <x:v>29.979999999999997</x:v>
      </x:c>
      <x:c r="Q11" s="100" t="n">
        <x:f>IF(SUM('计算底稿'!H34,'计算底稿'!H35)=0,"",P11/SUM('计算底稿'!H34,'计算底稿'!H35)-1)</x:f>
        <x:v>0.03952843273231621</x:v>
      </x:c>
      <x:c r="R11" s="90" t="n">
        <x:f>SUM(J11,L11)</x:f>
        <x:v>37.9</x:v>
      </x:c>
      <x:c r="S11" s="91" t="n">
        <x:f>IF(SUM(B11,D11)=0,"",R11/SUM(B11,D11)-1)</x:f>
        <x:v>-0.16298586572438167</x:v>
      </x:c>
    </x:row>
    <x:row r="12" ht="24" customHeight="1">
      <x:c r="A12" s="87" t="str">
        <x:v>Huawei</x:v>
      </x:c>
      <x:c r="B12" s="95" t="n">
        <x:f>'计算底稿'!E38</x:f>
        <x:v>1.379999999999999</x:v>
      </x:c>
      <x:c r="C12" s="96" t="n">
        <x:f>'计算底稿'!I38</x:f>
        <x:v>-1.3322676295501878e-15</x:v>
      </x:c>
      <x:c r="D12" s="95" t="n">
        <x:f>'计算底稿'!E39</x:f>
        <x:v>1.4000000000000004</x:v>
      </x:c>
      <x:c r="E12" s="96" t="n">
        <x:f>'计算底稿'!I39</x:f>
        <x:v>1.3322676295501878e-15</x:v>
      </x:c>
      <x:c r="F12" s="95" t="n">
        <x:f>'计算底稿'!E40</x:f>
        <x:v>1.4000000000000004</x:v>
      </x:c>
      <x:c r="G12" s="96" t="n">
        <x:f>'计算底稿'!I40</x:f>
        <x:v>0.03703703703703631</x:v>
      </x:c>
      <x:c r="H12" s="95" t="n">
        <x:f>'计算底稿'!E41</x:f>
        <x:v>1.4499999999999993</x:v>
      </x:c>
      <x:c r="I12" s="96" t="n">
        <x:f>'计算底稿'!I41</x:f>
        <x:v>-0.01360544217687043</x:v>
      </x:c>
      <x:c r="J12" s="95" t="n">
        <x:f>'计算底稿'!E42</x:f>
        <x:v>1.4900000000000002</x:v>
      </x:c>
      <x:c r="K12" s="96" t="n">
        <x:f>'计算底稿'!I42</x:f>
        <x:v>0.07971014492753725</x:v>
      </x:c>
      <x:c r="L12" s="97" t="n">
        <x:f>'计算底稿'!E43</x:f>
        <x:v>3.959999999999999</x:v>
      </x:c>
      <x:c r="M12" s="98" t="n">
        <x:f>'计算底稿'!I43</x:f>
        <x:v>1.8285714285714274</x:v>
      </x:c>
      <x:c r="N12" s="95" t="n">
        <x:f>SUM(B12,D12)</x:f>
        <x:v>2.7799999999999994</x:v>
      </x:c>
      <x:c r="O12" s="96" t="n">
        <x:f>IF(SUM('计算底稿'!H38,'计算底稿'!H39)=0,"",N12/SUM('计算底稿'!H38,'计算底稿'!H39)-1)</x:f>
        <x:v>0</x:v>
      </x:c>
      <x:c r="P12" s="95" t="n">
        <x:f>SUM(F12,H12)</x:f>
        <x:v>2.8499999999999996</x:v>
      </x:c>
      <x:c r="Q12" s="96" t="n">
        <x:f>IF(SUM('计算底稿'!H40,'计算底稿'!H41)=0,"",P12/SUM('计算底稿'!H40,'计算底稿'!H41)-1)</x:f>
        <x:v>0.010638297872340274</x:v>
      </x:c>
      <x:c r="R12" s="95" t="n">
        <x:f>SUM(J12,L12)</x:f>
        <x:v>5.449999999999999</x:v>
      </x:c>
      <x:c r="S12" s="96" t="n">
        <x:f>IF(SUM(B12,D12)=0,"",R12/SUM(B12,D12)-1)</x:f>
        <x:v>0.9604316546762592</x:v>
      </x:c>
    </x:row>
    <x:row r="13" ht="24" customHeight="1">
      <x:c r="A13" s="92" t="str">
        <x:v>Transsion</x:v>
      </x:c>
      <x:c r="B13" s="95" t="n">
        <x:f>'计算底稿'!E44</x:f>
        <x:v>24.9</x:v>
      </x:c>
      <x:c r="C13" s="96" t="n">
        <x:f>'计算底稿'!I44</x:f>
        <x:v>-0.12323943661971837</x:v>
      </x:c>
      <x:c r="D13" s="93" t="n">
        <x:f>'计算底稿'!E45</x:f>
        <x:v>25</x:v>
      </x:c>
      <x:c r="E13" s="94" t="n">
        <x:f>'计算底稿'!I45</x:f>
        <x:v>-0.015748031496062964</x:v>
      </x:c>
      <x:c r="F13" s="93" t="n">
        <x:f>'计算底稿'!E46</x:f>
        <x:v>29.099999999999998</x:v>
      </x:c>
      <x:c r="G13" s="94" t="n">
        <x:f>'计算底稿'!I46</x:f>
        <x:v>0.13671875</x:v>
      </x:c>
      <x:c r="H13" s="95" t="n">
        <x:f>'计算底稿'!E47</x:f>
        <x:v>24.9</x:v>
      </x:c>
      <x:c r="I13" s="96" t="n">
        <x:f>'计算底稿'!I47</x:f>
        <x:v>-0.015810276679841806</x:v>
      </x:c>
      <x:c r="J13" s="95" t="n">
        <x:f>'计算底稿'!E48</x:f>
        <x:v>19.4</x:v>
      </x:c>
      <x:c r="K13" s="96" t="n">
        <x:f>'计算底稿'!I48</x:f>
        <x:v>-0.22088353413654616</x:v>
      </x:c>
      <x:c r="L13" s="95" t="n">
        <x:f>'计算底稿'!E49</x:f>
        <x:v>18.4</x:v>
      </x:c>
      <x:c r="M13" s="96" t="n">
        <x:f>'计算底稿'!I49</x:f>
        <x:v>-0.264</x:v>
      </x:c>
      <x:c r="N13" s="95" t="n">
        <x:f>SUM(B13,D13)</x:f>
        <x:v>49.9</x:v>
      </x:c>
      <x:c r="O13" s="96" t="n">
        <x:f>IF(SUM('计算底稿'!H44,'计算底稿'!H45)=0,"",N13/SUM('计算底稿'!H44,'计算底稿'!H45)-1)</x:f>
        <x:v>-0.07249070631970256</x:v>
      </x:c>
      <x:c r="P13" s="95" t="n">
        <x:f>SUM(F13,H13)</x:f>
        <x:v>54</x:v>
      </x:c>
      <x:c r="Q13" s="96" t="n">
        <x:f>IF(SUM('计算底稿'!H46,'计算底稿'!H47)=0,"",P13/SUM('计算底稿'!H46,'计算底稿'!H47)-1)</x:f>
        <x:v>0.0609037328094304</x:v>
      </x:c>
      <x:c r="R13" s="95" t="n">
        <x:f>SUM(J13,L13)</x:f>
        <x:v>37.8</x:v>
      </x:c>
      <x:c r="S13" s="96" t="n">
        <x:f>IF(SUM(B13,D13)=0,"",R13/SUM(B13,D13)-1)</x:f>
        <x:v>-0.24248496993987978</x:v>
      </x:c>
    </x:row>
    <x:row r="14" ht="24" customHeight="1">
      <x:c r="A14" s="101" t="str">
        <x:v>8厂商合计</x:v>
      </x:c>
      <x:c r="B14" s="102" t="n">
        <x:f>SUM(B6:B13)</x:f>
        <x:v>205.76000000000002</x:v>
      </x:c>
      <x:c r="C14" s="103" t="n">
        <x:f>IF(SUM('计算底稿'!H2,'计算底稿'!H8,'计算底稿'!H14,'计算底稿'!H20,'计算底稿'!H26,'计算底稿'!H32,'计算底稿'!H38,'计算底稿'!H44)=0,"",B14/SUM('计算底稿'!H2,'计算底稿'!H8,'计算底稿'!H14,'计算底稿'!H20,'计算底稿'!H26,'计算底稿'!H32,'计算底稿'!H38,'计算底稿'!H44)-1)</x:f>
        <x:v>0.08632068000633564</x:v>
      </x:c>
      <x:c r="D14" s="102" t="n">
        <x:f>SUM(D6:D13)</x:f>
        <x:v>201.10999999999999</x:v>
      </x:c>
      <x:c r="E14" s="103" t="n">
        <x:f>IF(SUM('计算底稿'!H3,'计算底稿'!H9,'计算底稿'!H15,'计算底稿'!H21,'计算底稿'!H27,'计算底稿'!H33,'计算底稿'!H39,'计算底稿'!H45)=0,"",D14/SUM('计算底稿'!H3,'计算底稿'!H9,'计算底稿'!H15,'计算底稿'!H21,'计算底稿'!H27,'计算底稿'!H33,'计算底稿'!H39,'计算底稿'!H45)-1)</x:f>
        <x:v>0.11665741254858397</x:v>
      </x:c>
      <x:c r="F14" s="102" t="n">
        <x:f>SUM(F6:F13)</x:f>
        <x:v>212.8</x:v>
      </x:c>
      <x:c r="G14" s="103" t="n">
        <x:f>IF(SUM('计算底稿'!H4,'计算底稿'!H10,'计算底稿'!H16,'计算底稿'!H22,'计算底稿'!H28,'计算底稿'!H34,'计算底稿'!H40,'计算底稿'!H46)=0,"",F14/SUM('计算底稿'!H4,'计算底稿'!H10,'计算底稿'!H16,'计算底稿'!H22,'计算底稿'!H28,'计算底稿'!H34,'计算底稿'!H40,'计算底稿'!H46)-1)</x:f>
        <x:v>0.08849104859335055</x:v>
      </x:c>
      <x:c r="H14" s="102" t="n">
        <x:f>SUM(H6:H13)</x:f>
        <x:v>216.64000000000001</x:v>
      </x:c>
      <x:c r="I14" s="103" t="n">
        <x:f>IF(SUM('计算底稿'!H5,'计算底稿'!H11,'计算底稿'!H17,'计算底稿'!H23,'计算底稿'!H29,'计算底稿'!H35,'计算底稿'!H41,'计算底稿'!H47)=0,"",H14/SUM('计算底稿'!H5,'计算底稿'!H11,'计算底稿'!H17,'计算底稿'!H23,'计算底稿'!H29,'计算底稿'!H35,'计算底稿'!H41,'计算底稿'!H47)-1)</x:f>
        <x:v>0.06514577904518437</x:v>
      </x:c>
      <x:c r="J14" s="102" t="n">
        <x:f>SUM(J6:J13)</x:f>
        <x:v>198.88000000000002</x:v>
      </x:c>
      <x:c r="K14" s="103" t="n">
        <x:f>IF(SUM('计算底稿'!H6,'计算底稿'!H12,'计算底稿'!H18,'计算底稿'!H24,'计算底稿'!H30,'计算底稿'!H36,'计算底稿'!H42,'计算底稿'!H48)=0,"",J14/SUM('计算底稿'!H6,'计算底稿'!H12,'计算底稿'!H18,'计算底稿'!H24,'计算底稿'!H30,'计算底稿'!H36,'计算底稿'!H42,'计算底稿'!H48)-1)</x:f>
        <x:v>-0.033437013996889586</x:v>
      </x:c>
      <x:c r="L14" s="102" t="n">
        <x:f>SUM(L6:L13)</x:f>
        <x:v>192.51000000000002</x:v>
      </x:c>
      <x:c r="M14" s="103" t="n">
        <x:f>IF(SUM('计算底稿'!H7,'计算底稿'!H13,'计算底稿'!H19,'计算底稿'!H25,'计算底稿'!H31,'计算底稿'!H37,'计算底稿'!H43,'计算底稿'!H49)=0,"",L14/SUM('计算底稿'!H7,'计算底稿'!H13,'计算底稿'!H19,'计算底稿'!H25,'计算底稿'!H31,'计算底稿'!H37,'计算底稿'!H43,'计算底稿'!H49)-1)</x:f>
        <x:v>-0.042762667197056126</x:v>
      </x:c>
      <x:c r="N14" s="102" t="n">
        <x:f>SUM(B14,D14)</x:f>
        <x:v>406.87</x:v>
      </x:c>
      <x:c r="O14" s="103" t="n">
        <x:f>IF(SUM('计算底稿'!H2,'计算底稿'!H8,'计算底稿'!H14,'计算底稿'!H20,'计算底稿'!H26,'计算底稿'!H32,'计算底稿'!H38,'计算底稿'!H44,'计算底稿'!H3,'计算底稿'!H9,'计算底稿'!H15,'计算底稿'!H21,'计算底稿'!H27,'计算底稿'!H33,'计算底稿'!H39,'计算底稿'!H45)=0,"",N14/SUM('计算底稿'!H2,'计算底稿'!H8,'计算底稿'!H14,'计算底稿'!H20,'计算底稿'!H26,'计算底稿'!H32,'计算底稿'!H38,'计算底稿'!H44,'计算底稿'!H3,'计算底稿'!H9,'计算底稿'!H15,'计算底稿'!H21,'计算底稿'!H27,'计算底稿'!H33,'计算底稿'!H39,'计算底稿'!H45)-1)</x:f>
        <x:v>0.10110687126194184</x:v>
      </x:c>
      <x:c r="P14" s="102" t="n">
        <x:f>SUM(F14,H14)</x:f>
        <x:v>429.44000000000005</x:v>
      </x:c>
      <x:c r="Q14" s="103" t="n">
        <x:f>IF(SUM('计算底稿'!H4,'计算底稿'!H10,'计算底稿'!H16,'计算底稿'!H22,'计算底稿'!H28,'计算底稿'!H34,'计算底稿'!H40,'计算底稿'!H46,'计算底稿'!H5,'计算底稿'!H11,'计算底稿'!H17,'计算底稿'!H23,'计算底稿'!H29,'计算底稿'!H35,'计算底稿'!H41,'计算底稿'!H47)=0,"",P14/SUM('计算底稿'!H4,'计算底稿'!H10,'计算底稿'!H16,'计算底稿'!H22,'计算底稿'!H28,'计算底稿'!H34,'计算底稿'!H40,'计算底稿'!H46,'计算底稿'!H5,'计算底稿'!H11,'计算底稿'!H17,'计算底稿'!H23,'计算底稿'!H29,'计算底稿'!H35,'计算底稿'!H41,'计算底稿'!H47)-1)</x:f>
        <x:v>0.07658753039685129</x:v>
      </x:c>
      <x:c r="R14" s="102" t="n">
        <x:f>SUM(J14,L14)</x:f>
        <x:v>391.39000000000004</x:v>
      </x:c>
      <x:c r="S14" s="103" t="n">
        <x:f>IF(N14=0,"",R14/N14-1)</x:f>
        <x:v>-0.03804655049524408</x:v>
      </x:c>
    </x:row>
    <x:row r="15" ht="24" customHeight="1">
      <x:c r="A15" s="104" t="str">
        <x:v>全球市场总计</x:v>
      </x:c>
      <x:c r="B15" s="105" t="n">
        <x:f>'计算底稿'!C50</x:f>
        <x:v>302.6</x:v>
      </x:c>
      <x:c r="C15" s="106" t="n">
        <x:f>IF('计算底稿'!F50=0,"",'计算底稿'!C50/'计算底稿'!F50-1)</x:f>
        <x:v>0.04561161022805815</x:v>
      </x:c>
      <x:c r="D15" s="105" t="n">
        <x:f>'计算底稿'!C51</x:f>
        <x:v>297.4</x:v>
      </x:c>
      <x:c r="E15" s="106" t="n">
        <x:f>IF('计算底稿'!F51=0,"",'计算底稿'!C51/'计算底稿'!F51-1)</x:f>
        <x:v>0.017796030116358663</x:v>
      </x:c>
      <x:c r="F15" s="105" t="n">
        <x:f>'计算底稿'!C52</x:f>
        <x:v>325.7</x:v>
      </x:c>
      <x:c r="G15" s="106" t="n">
        <x:f>IF('计算底稿'!F52=0,"",'计算底稿'!C52/'计算底稿'!F52-1)</x:f>
        <x:v>0.030370136032900952</x:v>
      </x:c>
      <x:c r="H15" s="105" t="n">
        <x:f>'计算底稿'!C53</x:f>
        <x:v>336.3</x:v>
      </x:c>
      <x:c r="I15" s="106" t="n">
        <x:f>IF('计算底稿'!F53=0,"",'计算底稿'!C53/'计算底稿'!F53-1)</x:f>
        <x:v>0.0138679529695509</x:v>
      </x:c>
      <x:c r="J15" s="105" t="n">
        <x:f>'计算底稿'!C54</x:f>
        <x:v>293.8</x:v>
      </x:c>
      <x:c r="K15" s="106" t="n">
        <x:f>IF('计算底稿'!F54=0,"",'计算底稿'!C54/'计算底稿'!F54-1)</x:f>
        <x:v>-0.029081295439524202</x:v>
      </x:c>
      <x:c r="L15" s="105" t="n">
        <x:f>'计算底稿'!C55</x:f>
        <x:v>277.5</x:v>
      </x:c>
      <x:c r="M15" s="106" t="n">
        <x:f>IF('计算底稿'!F55=0,"",'计算底稿'!C55/'计算底稿'!F55-1)</x:f>
        <x:v>-0.06691324815063882</x:v>
      </x:c>
      <x:c r="N15" s="105" t="n">
        <x:f>SUM(B15,D15)</x:f>
        <x:v>600</x:v>
      </x:c>
      <x:c r="O15" s="106" t="n">
        <x:f>IF(SUM('计算底稿'!F50,'计算底稿'!F51)=0,"",N15/SUM('计算底稿'!F50,'计算底稿'!F51)-1)</x:f>
        <x:v>0.03163686382393416</x:v>
      </x:c>
      <x:c r="P15" s="105" t="n">
        <x:f>SUM(F15,H15)</x:f>
        <x:v>662</x:v>
      </x:c>
      <x:c r="Q15" s="106" t="n">
        <x:f>IF(SUM('计算底稿'!F52,'计算底稿'!F53)=0,"",P15/SUM('计算底稿'!F52,'计算底稿'!F53)-1)</x:f>
        <x:v>0.021920345785736428</x:v>
      </x:c>
      <x:c r="R15" s="105" t="n">
        <x:f>SUM(J15,L15)</x:f>
        <x:v>571.3</x:v>
      </x:c>
      <x:c r="S15" s="106" t="n">
        <x:f>IF(N15=0,"",R15/N15-1)</x:f>
        <x:v>-0.047833333333333394</x:v>
      </x:c>
    </x:row>
    <x:row r="16" ht="24" customHeight="1">
      <x:c r="A16" s="107" t="str">
        <x:v>中国市场总计</x:v>
      </x:c>
      <x:c r="B16" s="108" t="n">
        <x:f>'计算底稿'!D50</x:f>
        <x:v>71.4</x:v>
      </x:c>
      <x:c r="C16" s="109" t="n">
        <x:f>IF('计算底稿'!G50=0,"",'计算底稿'!D50/'计算底稿'!G50-1)</x:f>
        <x:v>0.030303030303030498</x:v>
      </x:c>
      <x:c r="D16" s="108" t="n">
        <x:f>'计算底稿'!D51</x:f>
        <x:v>69</x:v>
      </x:c>
      <x:c r="E16" s="109" t="n">
        <x:f>IF('计算底稿'!G51=0,"",'计算底稿'!D51/'计算底稿'!G51-1)</x:f>
        <x:v>-0.03899721448467963</x:v>
      </x:c>
      <x:c r="F16" s="108" t="n">
        <x:f>'计算底稿'!D52</x:f>
        <x:v>68.5</x:v>
      </x:c>
      <x:c r="G16" s="109" t="n">
        <x:f>IF('计算底稿'!G52=0,"",'计算底稿'!D52/'计算底稿'!G52-1)</x:f>
        <x:v>-0.0043604651162790775</x:v>
      </x:c>
      <x:c r="H16" s="108" t="n">
        <x:f>'计算底稿'!D53</x:f>
        <x:v>75.7</x:v>
      </x:c>
      <x:c r="I16" s="109" t="n">
        <x:f>IF('计算底稿'!G53=0,"",'计算底稿'!D53/'计算底稿'!G53-1)</x:f>
        <x:v>-0.009162303664921545</x:v>
      </x:c>
      <x:c r="J16" s="108" t="n">
        <x:f>'计算底稿'!D54</x:f>
        <x:v>68.4</x:v>
      </x:c>
      <x:c r="K16" s="109" t="n">
        <x:f>IF('计算底稿'!G54=0,"",'计算底稿'!D54/'计算底稿'!G54-1)</x:f>
        <x:v>-0.04201680672268904</x:v>
      </x:c>
      <x:c r="L16" s="108" t="n">
        <x:f>'计算底稿'!D55</x:f>
        <x:v>65.9</x:v>
      </x:c>
      <x:c r="M16" s="109" t="n">
        <x:f>IF('计算底稿'!G55=0,"",'计算底稿'!D55/'计算底稿'!G55-1)</x:f>
        <x:v>-0.04492753623188395</x:v>
      </x:c>
      <x:c r="N16" s="108" t="n">
        <x:f>SUM(B16,D16)</x:f>
        <x:v>140.4</x:v>
      </x:c>
      <x:c r="O16" s="109" t="n">
        <x:f>IF(SUM('计算底稿'!G50,'计算底稿'!G51)=0,"",N16/SUM('计算底稿'!G50,'计算底稿'!G51)-1)</x:f>
        <x:v>-0.0049610205527993445</x:v>
      </x:c>
      <x:c r="P16" s="108" t="n">
        <x:f>SUM(F16,H16)</x:f>
        <x:v>144.2</x:v>
      </x:c>
      <x:c r="Q16" s="109" t="n">
        <x:f>IF(SUM('计算底稿'!G52,'计算底稿'!G53)=0,"",P16/SUM('计算底稿'!G52,'计算底稿'!G53)-1)</x:f>
        <x:v>-0.00688705234159781</x:v>
      </x:c>
      <x:c r="R16" s="108" t="n">
        <x:f>SUM(J16,L16)</x:f>
        <x:v>134.3</x:v>
      </x:c>
      <x:c r="S16" s="109" t="n">
        <x:f>IF(N16=0,"",R16/N16-1)</x:f>
        <x:v>-0.04344729344729337</x:v>
      </x:c>
    </x:row>
    <x:row r="17" ht="24" customHeight="1">
      <x:c r="A17" s="110" t="str">
        <x:v>海外市场总计</x:v>
      </x:c>
      <x:c r="B17" s="111" t="n">
        <x:f>'计算底稿'!E50</x:f>
        <x:v>231.20000000000002</x:v>
      </x:c>
      <x:c r="C17" s="112" t="n">
        <x:f>'计算底稿'!I50</x:f>
        <x:v>0.05043162199000473</x:v>
      </x:c>
      <x:c r="D17" s="111" t="n">
        <x:f>'计算底稿'!E51</x:f>
        <x:v>228.39999999999998</x:v>
      </x:c>
      <x:c r="E17" s="112" t="n">
        <x:f>'计算底稿'!I51</x:f>
        <x:v>0.0362976406533575</x:v>
      </x:c>
      <x:c r="F17" s="111" t="n">
        <x:f>'计算底稿'!E52</x:f>
        <x:v>257.2</x:v>
      </x:c>
      <x:c r="G17" s="112" t="n">
        <x:f>'计算底稿'!I52</x:f>
        <x:v>0.04003234937323086</x:v>
      </x:c>
      <x:c r="H17" s="111" t="n">
        <x:f>'计算底稿'!E53</x:f>
        <x:v>260.6</x:v>
      </x:c>
      <x:c r="I17" s="112" t="n">
        <x:f>'计算底稿'!I53</x:f>
        <x:v>0.020759890325107833</x:v>
      </x:c>
      <x:c r="J17" s="111" t="n">
        <x:f>'计算底稿'!E54</x:f>
        <x:v>225.4</x:v>
      </x:c>
      <x:c r="K17" s="112" t="n">
        <x:f>'计算底稿'!I54</x:f>
        <x:v>-0.025086505190311414</x:v>
      </x:c>
      <x:c r="L17" s="111" t="n">
        <x:f>'计算底稿'!E55</x:f>
        <x:v>211.6</x:v>
      </x:c>
      <x:c r="M17" s="112" t="n">
        <x:f>'计算底稿'!I55</x:f>
        <x:v>-0.07355516637478099</x:v>
      </x:c>
      <x:c r="N17" s="111" t="n">
        <x:f>SUM(B17,D17)</x:f>
        <x:v>459.6</x:v>
      </x:c>
      <x:c r="O17" s="112" t="n">
        <x:f>IF(SUM('计算底稿'!H50,'计算底稿'!H51)=0,"",N17/SUM('计算底稿'!H50,'计算底稿'!H51)-1)</x:f>
        <x:v>0.04335981838819536</x:v>
      </x:c>
      <x:c r="P17" s="111" t="n">
        <x:f>SUM(F17,H17)</x:f>
        <x:v>517.8</x:v>
      </x:c>
      <x:c r="Q17" s="112" t="n">
        <x:f>IF(SUM('计算底稿'!H52,'计算底稿'!H53)=0,"",P17/SUM('计算底稿'!H52,'计算底稿'!H53)-1)</x:f>
        <x:v>0.030242737763628957</x:v>
      </x:c>
      <x:c r="R17" s="111" t="n">
        <x:f>SUM(J17,L17)</x:f>
        <x:v>437</x:v>
      </x:c>
      <x:c r="S17" s="112" t="n">
        <x:f>IF(N17=0,"",R17/N17-1)</x:f>
        <x:v>-0.04917319408181031</x:v>
      </x:c>
    </x:row>
    <x:row r="18">
      <x:c r="A18" s="84"/>
      <x:c r="B18" s="84"/>
      <x:c r="C18" s="84"/>
      <x:c r="D18" s="84"/>
      <x:c r="E18" s="84"/>
      <x:c r="F18" s="84"/>
      <x:c r="G18" s="84"/>
      <x:c r="H18" s="84"/>
      <x:c r="I18" s="84"/>
      <x:c r="J18" s="84"/>
      <x:c r="K18" s="84"/>
      <x:c r="L18" s="84"/>
      <x:c r="M18" s="84"/>
      <x:c r="N18" s="84"/>
      <x:c r="O18" s="84"/>
      <x:c r="P18" s="84"/>
      <x:c r="Q18" s="84"/>
      <x:c r="R18" s="84"/>
      <x:c r="S18" s="84"/>
    </x:row>
    <x:row r="19" ht="30" customHeight="1">
      <x:c r="A19" s="113" t="str">
        <x:v>总计说明：全球市场总计取 IDC 全球全量；中国市场总计取用户确认准确的看板总量；海外市场总计 = 全球 − 中国；8厂商合计仅汇总表内厂商。</x:v>
      </x:c>
      <x:c r="B19" s="113"/>
      <x:c r="C19" s="113"/>
      <x:c r="D19" s="113"/>
      <x:c r="E19" s="113"/>
      <x:c r="F19" s="113"/>
      <x:c r="G19" s="113"/>
      <x:c r="H19" s="113"/>
      <x:c r="I19" s="113"/>
      <x:c r="J19" s="113"/>
      <x:c r="K19" s="113"/>
      <x:c r="L19" s="113"/>
      <x:c r="M19" s="113"/>
      <x:c r="N19" s="113"/>
      <x:c r="O19" s="113"/>
      <x:c r="P19" s="113"/>
      <x:c r="Q19" s="113"/>
      <x:c r="R19" s="113"/>
      <x:c r="S19" s="113"/>
    </x:row>
  </x:sheetData>
  <x:mergeCells>
    <x:mergeCell ref="A1:S1"/>
    <x:mergeCell ref="A2:S2"/>
    <x:mergeCell ref="A4:A5"/>
    <x:mergeCell ref="B4:C4"/>
    <x:mergeCell ref="D4:E4"/>
    <x:mergeCell ref="F4:G4"/>
    <x:mergeCell ref="H4:I4"/>
    <x:mergeCell ref="J4:K4"/>
    <x:mergeCell ref="L4:M4"/>
    <x:mergeCell ref="N4:O4"/>
    <x:mergeCell ref="P4:Q4"/>
    <x:mergeCell ref="R4:S4"/>
    <x:mergeCell ref="A19:S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0" hidden="0" customWidth="1"/>
    <x:col min="11" max="11" width="46" hidden="0" customWidth="1"/>
    <x:col min="12" max="12" width="52" hidden="0" customWidth="1"/>
  </x:cols>
  <x:sheetData>
    <x:row r="1">
      <x:c r="A1" s="122" t="str">
        <x:v>季度</x:v>
      </x:c>
      <x:c r="B1" s="122" t="str">
        <x:v>厂商</x:v>
      </x:c>
      <x:c r="C1" s="122" t="str">
        <x:v>全球出货(M)</x:v>
      </x:c>
      <x:c r="D1" s="122" t="str">
        <x:v>中国出货(M)</x:v>
      </x:c>
      <x:c r="E1" s="122" t="str">
        <x:v>海外出货(M)</x:v>
      </x:c>
      <x:c r="F1" s="122" t="str">
        <x:v>上年同期全球(M)</x:v>
      </x:c>
      <x:c r="G1" s="122" t="str">
        <x:v>上年同期中国(M)</x:v>
      </x:c>
      <x:c r="H1" s="122" t="str">
        <x:v>上年同期海外(M)</x:v>
      </x:c>
      <x:c r="I1" s="122" t="str">
        <x:v>海外YoY</x:v>
      </x:c>
      <x:c r="J1" s="122" t="str">
        <x:v>来源状态</x:v>
      </x:c>
      <x:c r="K1" s="122" t="str">
        <x:v>公开来源说明</x:v>
      </x:c>
      <x:c r="L1" s="122" t="str">
        <x:v>公开来源URL</x:v>
      </x:c>
    </x:row>
    <x:row r="2">
      <x:c r="A2" s="123" t="str">
        <x:v>25Q1</x:v>
      </x:c>
      <x:c r="B2" s="123" t="str">
        <x:v>Apple</x:v>
      </x:c>
      <x:c r="C2" s="124" t="n">
        <x:v>59.1</x:v>
      </x:c>
      <x:c r="D2" s="124" t="n">
        <x:v>9.81</x:v>
      </x:c>
      <x:c r="E2" s="124" t="n">
        <x:f>C2-D2</x:f>
        <x:v>49.29</x:v>
      </x:c>
      <x:c r="F2" s="124" t="n">
        <x:v>52.6</x:v>
      </x:c>
      <x:c r="G2" s="124" t="n">
        <x:v>10.79</x:v>
      </x:c>
      <x:c r="H2" s="124" t="n">
        <x:f>F2-G2</x:f>
        <x:v>41.81</x:v>
      </x:c>
      <x:c r="I2" s="125" t="n">
        <x:f>IF(H2=0,"",E2/H2-1)</x:f>
        <x:v>0.17890456828509915</x:v>
      </x:c>
      <x:c r="J2" s="123" t="str">
        <x:v>IDC_REVISED</x:v>
      </x:c>
      <x:c r="K2" s="126" t="str">
        <x:v>IDC 25Q1 初值；25Q1 Top5 与总量按 IDC 26Q1 最终历史表重列</x:v>
      </x:c>
      <x:c r="L2" s="126" t="str">
        <x:v>https://www.idc.com/resource-center/press-releases/worldwide-smartphone-market-grew-1-5-in-q1-2025-amid-on-going-us-china-trade-tension-according-to-idc/</x:v>
      </x:c>
    </x:row>
    <x:row r="3">
      <x:c r="A3" s="123" t="str">
        <x:v>25Q2</x:v>
      </x:c>
      <x:c r="B3" s="123" t="str">
        <x:v>Apple</x:v>
      </x:c>
      <x:c r="C3" s="124" t="n">
        <x:v>48.4</x:v>
      </x:c>
      <x:c r="D3" s="124" t="n">
        <x:v>9.59</x:v>
      </x:c>
      <x:c r="E3" s="124" t="n">
        <x:f>C3-D3</x:f>
        <x:v>38.81</x:v>
      </x:c>
      <x:c r="F3" s="124" t="n">
        <x:v>45.7</x:v>
      </x:c>
      <x:c r="G3" s="124" t="n">
        <x:v>9.72</x:v>
      </x:c>
      <x:c r="H3" s="124" t="n">
        <x:f>F3-G3</x:f>
        <x:v>35.980000000000004</x:v>
      </x:c>
      <x:c r="I3" s="125" t="n">
        <x:f>IF(H3=0,"",E3/H3-1)</x:f>
        <x:v>0.0786548082267926</x:v>
      </x:c>
      <x:c r="J3" s="123" t="str">
        <x:v>IDC_REVISED</x:v>
      </x:c>
      <x:c r="K3" s="126" t="str">
        <x:v>IDC 25Q2 初值；25Q2 Top5 与总量按 IDC 26Q2 对比表重列</x:v>
      </x:c>
      <x:c r="L3" s="126" t="str">
        <x:v>https://www.idc.com/resource-center/press-releases/worldwide-smartphone-market-grows-1-0-in-q2-2025-despite-global-uncertainty-and-weak-demand-in-china-according-to-idc/</x:v>
      </x:c>
    </x:row>
    <x:row r="4">
      <x:c r="A4" s="123" t="str">
        <x:v>25Q3</x:v>
      </x:c>
      <x:c r="B4" s="123" t="str">
        <x:v>Apple</x:v>
      </x:c>
      <x:c r="C4" s="124" t="n">
        <x:v>59.4</x:v>
      </x:c>
      <x:c r="D4" s="124" t="n">
        <x:v>10.79</x:v>
      </x:c>
      <x:c r="E4" s="124" t="n">
        <x:f>C4-D4</x:f>
        <x:v>48.61</x:v>
      </x:c>
      <x:c r="F4" s="124" t="n">
        <x:v>57.1</x:v>
      </x:c>
      <x:c r="G4" s="124" t="n">
        <x:v>10.72</x:v>
      </x:c>
      <x:c r="H4" s="124" t="n">
        <x:f>F4-G4</x:f>
        <x:v>46.38</x:v>
      </x:c>
      <x:c r="I4" s="125" t="n">
        <x:f>IF(H4=0,"",E4/H4-1)</x:f>
        <x:v>0.04808106942647683</x:v>
      </x:c>
      <x:c r="J4" s="123" t="str">
        <x:v>IDC_FINAL</x:v>
      </x:c>
      <x:c r="K4" s="126" t="str">
        <x:v>IDC 25Q3 最终历史数据（2025-11-06）</x:v>
      </x:c>
      <x:c r="L4" s="126" t="str">
        <x:v>https://www.idc.com/promo/smartphone-market-share/</x:v>
      </x:c>
    </x:row>
    <x:row r="5">
      <x:c r="A5" s="123" t="str">
        <x:v>25Q4</x:v>
      </x:c>
      <x:c r="B5" s="123" t="str">
        <x:v>Apple</x:v>
      </x:c>
      <x:c r="C5" s="124" t="n">
        <x:v>81.3</x:v>
      </x:c>
      <x:c r="D5" s="124" t="n">
        <x:v>16.02</x:v>
      </x:c>
      <x:c r="E5" s="124" t="n">
        <x:f>C5-D5</x:f>
        <x:v>65.28</x:v>
      </x:c>
      <x:c r="F5" s="124" t="n">
        <x:v>77.5</x:v>
      </x:c>
      <x:c r="G5" s="124" t="n">
        <x:v>13.19</x:v>
      </x:c>
      <x:c r="H5" s="124" t="n">
        <x:f>F5-G5</x:f>
        <x:v>64.31</x:v>
      </x:c>
      <x:c r="I5" s="125" t="n">
        <x:f>IF(H5=0,"",E5/H5-1)</x:f>
        <x:v>0.015083190794588752</x:v>
      </x:c>
      <x:c r="J5" s="123" t="str">
        <x:v>IDC_PRELIM</x:v>
      </x:c>
      <x:c r="K5" s="126" t="str">
        <x:v>IDC 25Q4 初值（2026-01-13）</x:v>
      </x:c>
      <x:c r="L5" s="126" t="str">
        <x:v>https://www.idc.com/resource-center/press-releases/q425mobilephonetop5/</x:v>
      </x:c>
    </x:row>
    <x:row r="6">
      <x:c r="A6" s="123" t="str">
        <x:v>26Q1</x:v>
      </x:c>
      <x:c r="B6" s="123" t="str">
        <x:v>Apple</x:v>
      </x:c>
      <x:c r="C6" s="124" t="n">
        <x:v>61.8</x:v>
      </x:c>
      <x:c r="D6" s="124" t="n">
        <x:v>12.78</x:v>
      </x:c>
      <x:c r="E6" s="124" t="n">
        <x:f>C6-D6</x:f>
        <x:v>49.019999999999996</x:v>
      </x:c>
      <x:c r="F6" s="124" t="n">
        <x:v>59.1</x:v>
      </x:c>
      <x:c r="G6" s="124" t="n">
        <x:v>9.81</x:v>
      </x:c>
      <x:c r="H6" s="124" t="n">
        <x:f>F6-G6</x:f>
        <x:v>49.29</x:v>
      </x:c>
      <x:c r="I6" s="125" t="n">
        <x:f>IF(H6=0,"",E6/H6-1)</x:f>
        <x:v>-0.005477784540474762</x:v>
      </x:c>
      <x:c r="J6" s="123" t="str">
        <x:v>IDC_FINAL</x:v>
      </x:c>
      <x:c r="K6" s="126" t="str">
        <x:v>IDC 26Q1 最终历史数据（2026-05-07）</x:v>
      </x:c>
      <x:c r="L6" s="126" t="str">
        <x:v>https://www.idc.com/promo/smartphone-market-share/</x:v>
      </x:c>
    </x:row>
    <x:row r="7">
      <x:c r="A7" s="123" t="str">
        <x:v>26Q2</x:v>
      </x:c>
      <x:c r="B7" s="123" t="str">
        <x:v>Apple</x:v>
      </x:c>
      <x:c r="C7" s="124" t="n">
        <x:v>55.8</x:v>
      </x:c>
      <x:c r="D7" s="124" t="n">
        <x:v>11.93</x:v>
      </x:c>
      <x:c r="E7" s="124" t="n">
        <x:f>C7-D7</x:f>
        <x:v>43.87</x:v>
      </x:c>
      <x:c r="F7" s="124" t="n">
        <x:v>48.4</x:v>
      </x:c>
      <x:c r="G7" s="124" t="n">
        <x:v>9.59</x:v>
      </x:c>
      <x:c r="H7" s="124" t="n">
        <x:f>F7-G7</x:f>
        <x:v>38.81</x:v>
      </x:c>
      <x:c r="I7" s="125" t="n">
        <x:f>IF(H7=0,"",E7/H7-1)</x:f>
        <x:v>0.13037876835867035</x:v>
      </x:c>
      <x:c r="J7" s="123" t="str">
        <x:v>IDC_PRELIM</x:v>
      </x:c>
      <x:c r="K7" s="126" t="str">
        <x:v>IDC 26Q2 初值（2026-07-13）</x:v>
      </x:c>
      <x:c r="L7" s="126" t="str">
        <x:v>https://www.idc.com/resource-center/press-releases/2q26-mpt-top5/</x:v>
      </x:c>
    </x:row>
    <x:row r="8">
      <x:c r="A8" s="123" t="str">
        <x:v>25Q1</x:v>
      </x:c>
      <x:c r="B8" s="123" t="str">
        <x:v>Samsung</x:v>
      </x:c>
      <x:c r="C8" s="124" t="n">
        <x:v>60.6</x:v>
      </x:c>
      <x:c r="D8" s="124" t="n">
        <x:v>0.5</x:v>
      </x:c>
      <x:c r="E8" s="124" t="n">
        <x:f>C8-D8</x:f>
        <x:v>60.1</x:v>
      </x:c>
      <x:c r="F8" s="124" t="n">
        <x:v>60.2</x:v>
      </x:c>
      <x:c r="G8" s="124" t="n">
        <x:v>0.5</x:v>
      </x:c>
      <x:c r="H8" s="124" t="n">
        <x:f>F8-G8</x:f>
        <x:v>59.7</x:v>
      </x:c>
      <x:c r="I8" s="125" t="n">
        <x:f>IF(H8=0,"",E8/H8-1)</x:f>
        <x:v>0.00670016750418756</x:v>
      </x:c>
      <x:c r="J8" s="123" t="str">
        <x:v>IDC_REVISED</x:v>
      </x:c>
      <x:c r="K8" s="126" t="str">
        <x:v>IDC 25Q1 初值；25Q1 Top5 与总量按 IDC 26Q1 最终历史表重列</x:v>
      </x:c>
      <x:c r="L8" s="126" t="str">
        <x:v>https://www.idc.com/resource-center/press-releases/worldwide-smartphone-market-grew-1-5-in-q1-2025-amid-on-going-us-china-trade-tension-according-to-idc/</x:v>
      </x:c>
    </x:row>
    <x:row r="9">
      <x:c r="A9" s="123" t="str">
        <x:v>25Q2</x:v>
      </x:c>
      <x:c r="B9" s="123" t="str">
        <x:v>Samsung</x:v>
      </x:c>
      <x:c r="C9" s="124" t="n">
        <x:v>58</x:v>
      </x:c>
      <x:c r="D9" s="124" t="n">
        <x:v>0.4</x:v>
      </x:c>
      <x:c r="E9" s="124" t="n">
        <x:f>C9-D9</x:f>
        <x:v>57.6</x:v>
      </x:c>
      <x:c r="F9" s="124" t="n">
        <x:v>53.8</x:v>
      </x:c>
      <x:c r="G9" s="124" t="n">
        <x:v>0.5</x:v>
      </x:c>
      <x:c r="H9" s="124" t="n">
        <x:f>F9-G9</x:f>
        <x:v>53.3</x:v>
      </x:c>
      <x:c r="I9" s="125" t="n">
        <x:f>IF(H9=0,"",E9/H9-1)</x:f>
        <x:v>0.08067542213883683</x:v>
      </x:c>
      <x:c r="J9" s="123" t="str">
        <x:v>IDC_REVISED</x:v>
      </x:c>
      <x:c r="K9" s="126" t="str">
        <x:v>IDC 25Q2 初值；25Q2 Top5 与总量按 IDC 26Q2 对比表重列</x:v>
      </x:c>
      <x:c r="L9" s="126" t="str">
        <x:v>https://www.idc.com/resource-center/press-releases/worldwide-smartphone-market-grows-1-0-in-q2-2025-despite-global-uncertainty-and-weak-demand-in-china-according-to-idc/</x:v>
      </x:c>
    </x:row>
    <x:row r="10">
      <x:c r="A10" s="123" t="str">
        <x:v>25Q3</x:v>
      </x:c>
      <x:c r="B10" s="123" t="str">
        <x:v>Samsung</x:v>
      </x:c>
      <x:c r="C10" s="124" t="n">
        <x:v>61.4</x:v>
      </x:c>
      <x:c r="D10" s="124" t="n">
        <x:v>0.4</x:v>
      </x:c>
      <x:c r="E10" s="124" t="n">
        <x:f>C10-D10</x:f>
        <x:v>61</x:v>
      </x:c>
      <x:c r="F10" s="124" t="n">
        <x:v>57.7</x:v>
      </x:c>
      <x:c r="G10" s="124" t="n">
        <x:v>0.5</x:v>
      </x:c>
      <x:c r="H10" s="124" t="n">
        <x:f>F10-G10</x:f>
        <x:v>57.2</x:v>
      </x:c>
      <x:c r="I10" s="125" t="n">
        <x:f>IF(H10=0,"",E10/H10-1)</x:f>
        <x:v>0.06643356643356646</x:v>
      </x:c>
      <x:c r="J10" s="123" t="str">
        <x:v>IDC_FINAL</x:v>
      </x:c>
      <x:c r="K10" s="126" t="str">
        <x:v>IDC 25Q3 最终历史数据（2025-11-06）</x:v>
      </x:c>
      <x:c r="L10" s="126" t="str">
        <x:v>https://www.idc.com/promo/smartphone-market-share/</x:v>
      </x:c>
    </x:row>
    <x:row r="11">
      <x:c r="A11" s="123" t="str">
        <x:v>25Q4</x:v>
      </x:c>
      <x:c r="B11" s="123" t="str">
        <x:v>Samsung</x:v>
      </x:c>
      <x:c r="C11" s="124" t="n">
        <x:v>61.2</x:v>
      </x:c>
      <x:c r="D11" s="124" t="n">
        <x:v>0.4</x:v>
      </x:c>
      <x:c r="E11" s="124" t="n">
        <x:f>C11-D11</x:f>
        <x:v>60.800000000000004</x:v>
      </x:c>
      <x:c r="F11" s="124" t="n">
        <x:v>51.7</x:v>
      </x:c>
      <x:c r="G11" s="124" t="n">
        <x:v>0.4</x:v>
      </x:c>
      <x:c r="H11" s="124" t="n">
        <x:f>F11-G11</x:f>
        <x:v>51.300000000000004</x:v>
      </x:c>
      <x:c r="I11" s="125" t="n">
        <x:f>IF(H11=0,"",E11/H11-1)</x:f>
        <x:v>0.18518518518518512</x:v>
      </x:c>
      <x:c r="J11" s="123" t="str">
        <x:v>IDC_PRELIM</x:v>
      </x:c>
      <x:c r="K11" s="126" t="str">
        <x:v>IDC 25Q4 初值（2026-01-13）</x:v>
      </x:c>
      <x:c r="L11" s="126" t="str">
        <x:v>https://www.idc.com/resource-center/press-releases/q425mobilephonetop5/</x:v>
      </x:c>
    </x:row>
    <x:row r="12">
      <x:c r="A12" s="123" t="str">
        <x:v>26Q1</x:v>
      </x:c>
      <x:c r="B12" s="123" t="str">
        <x:v>Samsung</x:v>
      </x:c>
      <x:c r="C12" s="124" t="n">
        <x:v>62.4</x:v>
      </x:c>
      <x:c r="D12" s="124" t="n">
        <x:v>0.4</x:v>
      </x:c>
      <x:c r="E12" s="124" t="n">
        <x:f>C12-D12</x:f>
        <x:v>62</x:v>
      </x:c>
      <x:c r="F12" s="124" t="n">
        <x:v>60.6</x:v>
      </x:c>
      <x:c r="G12" s="124" t="n">
        <x:v>0.5</x:v>
      </x:c>
      <x:c r="H12" s="124" t="n">
        <x:f>F12-G12</x:f>
        <x:v>60.1</x:v>
      </x:c>
      <x:c r="I12" s="125" t="n">
        <x:f>IF(H12=0,"",E12/H12-1)</x:f>
        <x:v>0.03161397670549082</x:v>
      </x:c>
      <x:c r="J12" s="123" t="str">
        <x:v>IDC_FINAL</x:v>
      </x:c>
      <x:c r="K12" s="126" t="str">
        <x:v>IDC 26Q1 最终历史数据（2026-05-07）</x:v>
      </x:c>
      <x:c r="L12" s="126" t="str">
        <x:v>https://www.idc.com/promo/smartphone-market-share/</x:v>
      </x:c>
    </x:row>
    <x:row r="13">
      <x:c r="A13" s="123" t="str">
        <x:v>26Q2</x:v>
      </x:c>
      <x:c r="B13" s="123" t="str">
        <x:v>Samsung</x:v>
      </x:c>
      <x:c r="C13" s="124" t="n">
        <x:v>62.7</x:v>
      </x:c>
      <x:c r="D13" s="124" t="n">
        <x:v>0.35</x:v>
      </x:c>
      <x:c r="E13" s="124" t="n">
        <x:f>C13-D13</x:f>
        <x:v>62.35</x:v>
      </x:c>
      <x:c r="F13" s="124" t="n">
        <x:v>58</x:v>
      </x:c>
      <x:c r="G13" s="124" t="n">
        <x:v>0.4</x:v>
      </x:c>
      <x:c r="H13" s="124" t="n">
        <x:f>F13-G13</x:f>
        <x:v>57.6</x:v>
      </x:c>
      <x:c r="I13" s="125" t="n">
        <x:f>IF(H13=0,"",E13/H13-1)</x:f>
        <x:v>0.08246527777777768</x:v>
      </x:c>
      <x:c r="J13" s="123" t="str">
        <x:v>IDC_PRELIM</x:v>
      </x:c>
      <x:c r="K13" s="126" t="str">
        <x:v>IDC 26Q2 初值（2026-07-13）</x:v>
      </x:c>
      <x:c r="L13" s="126" t="str">
        <x:v>https://www.idc.com/resource-center/press-releases/2q26-mpt-top5/</x:v>
      </x:c>
    </x:row>
    <x:row r="14">
      <x:c r="A14" s="123" t="str">
        <x:v>25Q1</x:v>
      </x:c>
      <x:c r="B14" s="123" t="str">
        <x:v>Xiaomi</x:v>
      </x:c>
      <x:c r="C14" s="124" t="n">
        <x:v>41.8</x:v>
      </x:c>
      <x:c r="D14" s="124" t="n">
        <x:v>13.34</x:v>
      </x:c>
      <x:c r="E14" s="124" t="n">
        <x:f>C14-D14</x:f>
        <x:v>28.459999999999997</x:v>
      </x:c>
      <x:c r="F14" s="124" t="n">
        <x:v>40.8</x:v>
      </x:c>
      <x:c r="G14" s="124" t="n">
        <x:v>9.54</x:v>
      </x:c>
      <x:c r="H14" s="124" t="n">
        <x:f>F14-G14</x:f>
        <x:v>31.259999999999998</x:v>
      </x:c>
      <x:c r="I14" s="125" t="n">
        <x:f>IF(H14=0,"",E14/H14-1)</x:f>
        <x:v>-0.08957133717210497</x:v>
      </x:c>
      <x:c r="J14" s="123" t="str">
        <x:v>IDC_REVISED</x:v>
      </x:c>
      <x:c r="K14" s="126" t="str">
        <x:v>IDC 25Q1 初值；25Q1 Top5 与总量按 IDC 26Q1 最终历史表重列</x:v>
      </x:c>
      <x:c r="L14" s="126" t="str">
        <x:v>https://www.idc.com/resource-center/press-releases/worldwide-smartphone-market-grew-1-5-in-q1-2025-amid-on-going-us-china-trade-tension-according-to-idc/</x:v>
      </x:c>
    </x:row>
    <x:row r="15">
      <x:c r="A15" s="123" t="str">
        <x:v>25Q2</x:v>
      </x:c>
      <x:c r="B15" s="123" t="str">
        <x:v>Xiaomi</x:v>
      </x:c>
      <x:c r="C15" s="124" t="n">
        <x:v>42.4</x:v>
      </x:c>
      <x:c r="D15" s="124" t="n">
        <x:v>10.44</x:v>
      </x:c>
      <x:c r="E15" s="124" t="n">
        <x:f>C15-D15</x:f>
        <x:v>31.96</x:v>
      </x:c>
      <x:c r="F15" s="124" t="n">
        <x:v>42.3</x:v>
      </x:c>
      <x:c r="G15" s="124" t="n">
        <x:v>10.09</x:v>
      </x:c>
      <x:c r="H15" s="124" t="n">
        <x:f>F15-G15</x:f>
        <x:v>32.209999999999994</x:v>
      </x:c>
      <x:c r="I15" s="125" t="n">
        <x:f>IF(H15=0,"",E15/H15-1)</x:f>
        <x:v>-0.007761564731449622</x:v>
      </x:c>
      <x:c r="J15" s="123" t="str">
        <x:v>IDC_REVISED</x:v>
      </x:c>
      <x:c r="K15" s="126" t="str">
        <x:v>IDC 25Q2 初值；25Q2 Top5 与总量按 IDC 26Q2 对比表重列</x:v>
      </x:c>
      <x:c r="L15" s="126" t="str">
        <x:v>https://www.idc.com/resource-center/press-releases/worldwide-smartphone-market-grows-1-0-in-q2-2025-despite-global-uncertainty-and-weak-demand-in-china-according-to-idc/</x:v>
      </x:c>
    </x:row>
    <x:row r="16">
      <x:c r="A16" s="123" t="str">
        <x:v>25Q3</x:v>
      </x:c>
      <x:c r="B16" s="123" t="str">
        <x:v>Xiaomi</x:v>
      </x:c>
      <x:c r="C16" s="124" t="n">
        <x:v>43.4</x:v>
      </x:c>
      <x:c r="D16" s="124" t="n">
        <x:v>10.05</x:v>
      </x:c>
      <x:c r="E16" s="124" t="n">
        <x:f>C16-D16</x:f>
        <x:v>33.349999999999994</x:v>
      </x:c>
      <x:c r="F16" s="124" t="n">
        <x:v>42.8</x:v>
      </x:c>
      <x:c r="G16" s="124" t="n">
        <x:v>10.21</x:v>
      </x:c>
      <x:c r="H16" s="124" t="n">
        <x:f>F16-G16</x:f>
        <x:v>32.589999999999996</x:v>
      </x:c>
      <x:c r="I16" s="125" t="n">
        <x:f>IF(H16=0,"",E16/H16-1)</x:f>
        <x:v>0.023320036821110612</x:v>
      </x:c>
      <x:c r="J16" s="123" t="str">
        <x:v>IDC_FINAL</x:v>
      </x:c>
      <x:c r="K16" s="126" t="str">
        <x:v>IDC 25Q3 最终历史数据（2025-11-06）</x:v>
      </x:c>
      <x:c r="L16" s="126" t="str">
        <x:v>https://www.idc.com/promo/smartphone-market-share/</x:v>
      </x:c>
    </x:row>
    <x:row r="17">
      <x:c r="A17" s="123" t="str">
        <x:v>25Q4</x:v>
      </x:c>
      <x:c r="B17" s="123" t="str">
        <x:v>Xiaomi</x:v>
      </x:c>
      <x:c r="C17" s="124" t="n">
        <x:v>37.8</x:v>
      </x:c>
      <x:c r="D17" s="124" t="n">
        <x:v>10.02</x:v>
      </x:c>
      <x:c r="E17" s="124" t="n">
        <x:f>C17-D17</x:f>
        <x:v>27.779999999999998</x:v>
      </x:c>
      <x:c r="F17" s="124" t="n">
        <x:v>42.7</x:v>
      </x:c>
      <x:c r="G17" s="124" t="n">
        <x:v>12.2</x:v>
      </x:c>
      <x:c r="H17" s="124" t="n">
        <x:f>F17-G17</x:f>
        <x:v>30.500000000000004</x:v>
      </x:c>
      <x:c r="I17" s="125" t="n">
        <x:f>IF(H17=0,"",E17/H17-1)</x:f>
        <x:v>-0.08918032786885266</x:v>
      </x:c>
      <x:c r="J17" s="123" t="str">
        <x:v>IDC_PRELIM</x:v>
      </x:c>
      <x:c r="K17" s="126" t="str">
        <x:v>IDC 25Q4 初值（2026-01-13）</x:v>
      </x:c>
      <x:c r="L17" s="126" t="str">
        <x:v>https://www.idc.com/resource-center/press-releases/q425mobilephonetop5/</x:v>
      </x:c>
    </x:row>
    <x:row r="18">
      <x:c r="A18" s="123" t="str">
        <x:v>26Q1</x:v>
      </x:c>
      <x:c r="B18" s="123" t="str">
        <x:v>Xiaomi</x:v>
      </x:c>
      <x:c r="C18" s="124" t="n">
        <x:v>33.8</x:v>
      </x:c>
      <x:c r="D18" s="124" t="n">
        <x:v>8.6</x:v>
      </x:c>
      <x:c r="E18" s="124" t="n">
        <x:f>C18-D18</x:f>
        <x:v>25.199999999999996</x:v>
      </x:c>
      <x:c r="F18" s="124" t="n">
        <x:v>41.8</x:v>
      </x:c>
      <x:c r="G18" s="124" t="n">
        <x:v>13.34</x:v>
      </x:c>
      <x:c r="H18" s="124" t="n">
        <x:f>F18-G18</x:f>
        <x:v>28.459999999999997</x:v>
      </x:c>
      <x:c r="I18" s="125" t="n">
        <x:f>IF(H18=0,"",E18/H18-1)</x:f>
        <x:v>-0.1145467322557977</x:v>
      </x:c>
      <x:c r="J18" s="123" t="str">
        <x:v>IDC_FINAL</x:v>
      </x:c>
      <x:c r="K18" s="126" t="str">
        <x:v>IDC 26Q1 最终历史数据（2026-05-07）</x:v>
      </x:c>
      <x:c r="L18" s="126" t="str">
        <x:v>https://www.idc.com/promo/smartphone-market-share/</x:v>
      </x:c>
    </x:row>
    <x:row r="19">
      <x:c r="A19" s="123" t="str">
        <x:v>26Q2</x:v>
      </x:c>
      <x:c r="B19" s="123" t="str">
        <x:v>Xiaomi</x:v>
      </x:c>
      <x:c r="C19" s="124" t="n">
        <x:v>31.2</x:v>
      </x:c>
      <x:c r="D19" s="124" t="n">
        <x:v>8.18</x:v>
      </x:c>
      <x:c r="E19" s="124" t="n">
        <x:f>C19-D19</x:f>
        <x:v>23.02</x:v>
      </x:c>
      <x:c r="F19" s="124" t="n">
        <x:v>42.4</x:v>
      </x:c>
      <x:c r="G19" s="124" t="n">
        <x:v>10.44</x:v>
      </x:c>
      <x:c r="H19" s="124" t="n">
        <x:f>F19-G19</x:f>
        <x:v>31.96</x:v>
      </x:c>
      <x:c r="I19" s="125" t="n">
        <x:f>IF(H19=0,"",E19/H19-1)</x:f>
        <x:v>-0.2797246558197748</x:v>
      </x:c>
      <x:c r="J19" s="123" t="str">
        <x:v>IDC_PRELIM</x:v>
      </x:c>
      <x:c r="K19" s="126" t="str">
        <x:v>IDC 26Q2 初值（2026-07-13）</x:v>
      </x:c>
      <x:c r="L19" s="126" t="str">
        <x:v>https://www.idc.com/resource-center/press-releases/2q26-mpt-top5/</x:v>
      </x:c>
    </x:row>
    <x:row r="20">
      <x:c r="A20" s="123" t="str">
        <x:v>25Q1</x:v>
      </x:c>
      <x:c r="B20" s="123" t="str">
        <x:v>Honor</x:v>
      </x:c>
      <x:c r="C20" s="124" t="n">
        <x:v>16.2</x:v>
      </x:c>
      <x:c r="D20" s="124" t="n">
        <x:v>9.04</x:v>
      </x:c>
      <x:c r="E20" s="124" t="n">
        <x:f>C20-D20</x:f>
        <x:v>7.16</x:v>
      </x:c>
      <x:c r="F20" s="124" t="n">
        <x:v>14</x:v>
      </x:c>
      <x:c r="G20" s="124" t="n">
        <x:v>11.83</x:v>
      </x:c>
      <x:c r="H20" s="124" t="n">
        <x:f>F20-G20</x:f>
        <x:v>2.17</x:v>
      </x:c>
      <x:c r="I20" s="125" t="n">
        <x:f>IF(H20=0,"",E20/H20-1)</x:f>
        <x:v>2.299539170506913</x:v>
      </x:c>
      <x:c r="J20" s="123" t="str">
        <x:v>ESTIMATE</x:v>
      </x:c>
      <x:c r="K20" s="126" t="str">
        <x:v>IDC 25Q1 初值；25Q1 Top5 与总量按 IDC 26Q1 最终历史表重列</x:v>
      </x:c>
      <x:c r="L20" s="126" t="str">
        <x:v>https://www.idc.com/resource-center/press-releases/worldwide-smartphone-market-grew-1-5-in-q1-2025-amid-on-going-us-china-trade-tension-according-to-idc/</x:v>
      </x:c>
    </x:row>
    <x:row r="21">
      <x:c r="A21" s="123" t="str">
        <x:v>25Q2</x:v>
      </x:c>
      <x:c r="B21" s="123" t="str">
        <x:v>Honor</x:v>
      </x:c>
      <x:c r="C21" s="124" t="n">
        <x:v>17</x:v>
      </x:c>
      <x:c r="D21" s="124" t="n">
        <x:v>8.21</x:v>
      </x:c>
      <x:c r="E21" s="124" t="n">
        <x:f>C21-D21</x:f>
        <x:v>8.79</x:v>
      </x:c>
      <x:c r="F21" s="124" t="n">
        <x:v>13.5</x:v>
      </x:c>
      <x:c r="G21" s="124" t="n">
        <x:v>10.36</x:v>
      </x:c>
      <x:c r="H21" s="124" t="n">
        <x:f>F21-G21</x:f>
        <x:v>3.1400000000000006</x:v>
      </x:c>
      <x:c r="I21" s="125" t="n">
        <x:f>IF(H21=0,"",E21/H21-1)</x:f>
        <x:v>1.79936305732484</x:v>
      </x:c>
      <x:c r="J21" s="123" t="str">
        <x:v>ESTIMATE</x:v>
      </x:c>
      <x:c r="K21" s="126" t="str">
        <x:v>IDC 25Q2 初值；25Q2 Top5 与总量按 IDC 26Q2 对比表重列</x:v>
      </x:c>
      <x:c r="L21" s="126" t="str">
        <x:v>https://www.idc.com/resource-center/press-releases/worldwide-smartphone-market-grows-1-0-in-q2-2025-despite-global-uncertainty-and-weak-demand-in-china-according-to-idc/</x:v>
      </x:c>
    </x:row>
    <x:row r="22">
      <x:c r="A22" s="123" t="str">
        <x:v>25Q3</x:v>
      </x:c>
      <x:c r="B22" s="123" t="str">
        <x:v>Honor</x:v>
      </x:c>
      <x:c r="C22" s="124" t="n">
        <x:v>17.5</x:v>
      </x:c>
      <x:c r="D22" s="124" t="n">
        <x:v>9.89</x:v>
      </x:c>
      <x:c r="E22" s="124" t="n">
        <x:f>C22-D22</x:f>
        <x:v>7.609999999999999</x:v>
      </x:c>
      <x:c r="F22" s="124" t="n">
        <x:v>13</x:v>
      </x:c>
      <x:c r="G22" s="124" t="n">
        <x:v>10.04</x:v>
      </x:c>
      <x:c r="H22" s="124" t="n">
        <x:f>F22-G22</x:f>
        <x:v>2.960000000000001</x:v>
      </x:c>
      <x:c r="I22" s="125" t="n">
        <x:f>IF(H22=0,"",E22/H22-1)</x:f>
        <x:v>1.5709459459459452</x:v>
      </x:c>
      <x:c r="J22" s="123" t="str">
        <x:v>ESTIMATE</x:v>
      </x:c>
      <x:c r="K22" s="126" t="str">
        <x:v>IDC 25Q3 最终历史数据（2025-11-06）</x:v>
      </x:c>
      <x:c r="L22" s="126" t="str">
        <x:v>https://www.idc.com/promo/smartphone-market-share/</x:v>
      </x:c>
    </x:row>
    <x:row r="23">
      <x:c r="A23" s="123" t="str">
        <x:v>25Q4</x:v>
      </x:c>
      <x:c r="B23" s="123" t="str">
        <x:v>Honor</x:v>
      </x:c>
      <x:c r="C23" s="124" t="n">
        <x:v>17</x:v>
      </x:c>
      <x:c r="D23" s="124" t="n">
        <x:v>9.88</x:v>
      </x:c>
      <x:c r="E23" s="124" t="n">
        <x:f>C23-D23</x:f>
        <x:v>7.119999999999999</x:v>
      </x:c>
      <x:c r="F23" s="124" t="n">
        <x:v>13.5</x:v>
      </x:c>
      <x:c r="G23" s="124" t="n">
        <x:v>10.54</x:v>
      </x:c>
      <x:c r="H23" s="124" t="n">
        <x:f>F23-G23</x:f>
        <x:v>2.960000000000001</x:v>
      </x:c>
      <x:c r="I23" s="125" t="n">
        <x:f>IF(H23=0,"",E23/H23-1)</x:f>
        <x:v>1.4054054054054044</x:v>
      </x:c>
      <x:c r="J23" s="123" t="str">
        <x:v>ESTIMATE</x:v>
      </x:c>
      <x:c r="K23" s="126" t="str">
        <x:v>IDC 25Q4 初值（2026-01-13）</x:v>
      </x:c>
      <x:c r="L23" s="126" t="str">
        <x:v>https://www.idc.com/resource-center/press-releases/q425mobilephonetop5/</x:v>
      </x:c>
    </x:row>
    <x:row r="24">
      <x:c r="A24" s="123" t="str">
        <x:v>26Q1</x:v>
      </x:c>
      <x:c r="B24" s="123" t="str">
        <x:v>Honor</x:v>
      </x:c>
      <x:c r="C24" s="124" t="n">
        <x:v>20.2</x:v>
      </x:c>
      <x:c r="D24" s="124" t="n">
        <x:v>8.86</x:v>
      </x:c>
      <x:c r="E24" s="124" t="n">
        <x:f>C24-D24</x:f>
        <x:v>11.34</x:v>
      </x:c>
      <x:c r="F24" s="124" t="n">
        <x:v>16.2</x:v>
      </x:c>
      <x:c r="G24" s="124" t="n">
        <x:v>9.04</x:v>
      </x:c>
      <x:c r="H24" s="124" t="n">
        <x:f>F24-G24</x:f>
        <x:v>7.16</x:v>
      </x:c>
      <x:c r="I24" s="125" t="n">
        <x:f>IF(H24=0,"",E24/H24-1)</x:f>
        <x:v>0.5837988826815641</x:v>
      </x:c>
      <x:c r="J24" s="123" t="str">
        <x:v>IDC_YOY_DERIVED</x:v>
      </x:c>
      <x:c r="K24" s="126" t="str">
        <x:v>IDC 26Q1 最终历史数据（2026-05-07）</x:v>
      </x:c>
      <x:c r="L24" s="126" t="str">
        <x:v>https://www.idc.com/promo/smartphone-market-share/</x:v>
      </x:c>
    </x:row>
    <x:row r="25">
      <x:c r="A25" s="123" t="str">
        <x:v>26Q2</x:v>
      </x:c>
      <x:c r="B25" s="123" t="str">
        <x:v>Honor</x:v>
      </x:c>
      <x:c r="C25" s="124" t="n">
        <x:v>19.5</x:v>
      </x:c>
      <x:c r="D25" s="124" t="n">
        <x:v>7.43</x:v>
      </x:c>
      <x:c r="E25" s="124" t="n">
        <x:f>C25-D25</x:f>
        <x:v>12.07</x:v>
      </x:c>
      <x:c r="F25" s="124" t="n">
        <x:v>17</x:v>
      </x:c>
      <x:c r="G25" s="124" t="n">
        <x:v>8.21</x:v>
      </x:c>
      <x:c r="H25" s="124" t="n">
        <x:f>F25-G25</x:f>
        <x:v>8.79</x:v>
      </x:c>
      <x:c r="I25" s="125" t="n">
        <x:f>IF(H25=0,"",E25/H25-1)</x:f>
        <x:v>0.37315130830489207</x:v>
      </x:c>
      <x:c r="J25" s="123" t="str">
        <x:v>ESTIMATE</x:v>
      </x:c>
      <x:c r="K25" s="126" t="str">
        <x:v>IDC 26Q2 初值（2026-07-13）</x:v>
      </x:c>
      <x:c r="L25" s="126" t="str">
        <x:v>https://www.idc.com/resource-center/press-releases/2q26-mpt-top5/</x:v>
      </x:c>
    </x:row>
    <x:row r="26">
      <x:c r="A26" s="123" t="str">
        <x:v>25Q1</x:v>
      </x:c>
      <x:c r="B26" s="123" t="str">
        <x:v>vivo</x:v>
      </x:c>
      <x:c r="C26" s="124" t="n">
        <x:v>22.7</x:v>
      </x:c>
      <x:c r="D26" s="124" t="n">
        <x:v>10.34</x:v>
      </x:c>
      <x:c r="E26" s="124" t="n">
        <x:f>C26-D26</x:f>
        <x:v>12.36</x:v>
      </x:c>
      <x:c r="F26" s="124" t="n">
        <x:v>21.3</x:v>
      </x:c>
      <x:c r="G26" s="124" t="n">
        <x:v>10.11</x:v>
      </x:c>
      <x:c r="H26" s="124" t="n">
        <x:f>F26-G26</x:f>
        <x:v>11.190000000000001</x:v>
      </x:c>
      <x:c r="I26" s="125" t="n">
        <x:f>IF(H26=0,"",E26/H26-1)</x:f>
        <x:v>0.10455764075067009</x:v>
      </x:c>
      <x:c r="J26" s="123" t="str">
        <x:v>IDC_REVISED</x:v>
      </x:c>
      <x:c r="K26" s="126" t="str">
        <x:v>IDC 25Q1 初值；25Q1 Top5 与总量按 IDC 26Q1 最终历史表重列</x:v>
      </x:c>
      <x:c r="L26" s="126" t="str">
        <x:v>https://www.idc.com/resource-center/press-releases/worldwide-smartphone-market-grew-1-5-in-q1-2025-amid-on-going-us-china-trade-tension-according-to-idc/</x:v>
      </x:c>
    </x:row>
    <x:row r="27">
      <x:c r="A27" s="123" t="str">
        <x:v>25Q2</x:v>
      </x:c>
      <x:c r="B27" s="123" t="str">
        <x:v>vivo</x:v>
      </x:c>
      <x:c r="C27" s="124" t="n">
        <x:v>26.3</x:v>
      </x:c>
      <x:c r="D27" s="124" t="n">
        <x:v>11.92</x:v>
      </x:c>
      <x:c r="E27" s="124" t="n">
        <x:f>C27-D27</x:f>
        <x:v>14.38</x:v>
      </x:c>
      <x:c r="F27" s="124" t="n">
        <x:v>25.9</x:v>
      </x:c>
      <x:c r="G27" s="124" t="n">
        <x:v>13.26</x:v>
      </x:c>
      <x:c r="H27" s="124" t="n">
        <x:f>F27-G27</x:f>
        <x:v>12.639999999999999</x:v>
      </x:c>
      <x:c r="I27" s="125" t="n">
        <x:f>IF(H27=0,"",E27/H27-1)</x:f>
        <x:v>0.13765822784810133</x:v>
      </x:c>
      <x:c r="J27" s="123" t="str">
        <x:v>IDC_REVISED</x:v>
      </x:c>
      <x:c r="K27" s="126" t="str">
        <x:v>IDC 25Q2 初值；25Q2 Top5 与总量按 IDC 26Q2 对比表重列</x:v>
      </x:c>
      <x:c r="L27" s="126" t="str">
        <x:v>https://www.idc.com/resource-center/press-releases/worldwide-smartphone-market-grows-1-0-in-q2-2025-despite-global-uncertainty-and-weak-demand-in-china-according-to-idc/</x:v>
      </x:c>
    </x:row>
    <x:row r="28">
      <x:c r="A28" s="123" t="str">
        <x:v>25Q3</x:v>
      </x:c>
      <x:c r="B28" s="123" t="str">
        <x:v>vivo</x:v>
      </x:c>
      <x:c r="C28" s="124" t="n">
        <x:v>27.9</x:v>
      </x:c>
      <x:c r="D28" s="124" t="n">
        <x:v>11.81</x:v>
      </x:c>
      <x:c r="E28" s="124" t="n">
        <x:f>C28-D28</x:f>
        <x:v>16.089999999999996</x:v>
      </x:c>
      <x:c r="F28" s="124" t="n">
        <x:v>27</x:v>
      </x:c>
      <x:c r="G28" s="124" t="n">
        <x:v>12.81</x:v>
      </x:c>
      <x:c r="H28" s="124" t="n">
        <x:f>F28-G28</x:f>
        <x:v>14.19</x:v>
      </x:c>
      <x:c r="I28" s="125" t="n">
        <x:f>IF(H28=0,"",E28/H28-1)</x:f>
        <x:v>0.1338971106412965</x:v>
      </x:c>
      <x:c r="J28" s="123" t="str">
        <x:v>IDC_FINAL</x:v>
      </x:c>
      <x:c r="K28" s="126" t="str">
        <x:v>IDC 25Q3 最终历史数据（2025-11-06）</x:v>
      </x:c>
      <x:c r="L28" s="126" t="str">
        <x:v>https://www.idc.com/promo/smartphone-market-share/</x:v>
      </x:c>
    </x:row>
    <x:row r="29">
      <x:c r="A29" s="123" t="str">
        <x:v>25Q4</x:v>
      </x:c>
      <x:c r="B29" s="123" t="str">
        <x:v>vivo</x:v>
      </x:c>
      <x:c r="C29" s="124" t="n">
        <x:v>27</x:v>
      </x:c>
      <x:c r="D29" s="124" t="n">
        <x:v>12.03</x:v>
      </x:c>
      <x:c r="E29" s="124" t="n">
        <x:f>C29-D29</x:f>
        <x:v>14.97</x:v>
      </x:c>
      <x:c r="F29" s="124" t="n">
        <x:v>27.1</x:v>
      </x:c>
      <x:c r="G29" s="124" t="n">
        <x:v>13.16</x:v>
      </x:c>
      <x:c r="H29" s="124" t="n">
        <x:f>F29-G29</x:f>
        <x:v>13.940000000000001</x:v>
      </x:c>
      <x:c r="I29" s="125" t="n">
        <x:f>IF(H29=0,"",E29/H29-1)</x:f>
        <x:v>0.07388809182209455</x:v>
      </x:c>
      <x:c r="J29" s="123" t="str">
        <x:v>IDC_PRELIM</x:v>
      </x:c>
      <x:c r="K29" s="126" t="str">
        <x:v>IDC 25Q4 初值（2026-01-13）</x:v>
      </x:c>
      <x:c r="L29" s="126" t="str">
        <x:v>https://www.idc.com/resource-center/press-releases/q425mobilephonetop5/</x:v>
      </x:c>
    </x:row>
    <x:row r="30">
      <x:c r="A30" s="123" t="str">
        <x:v>26Q1</x:v>
      </x:c>
      <x:c r="B30" s="123" t="str">
        <x:v>vivo</x:v>
      </x:c>
      <x:c r="C30" s="124" t="n">
        <x:v>21.2</x:v>
      </x:c>
      <x:c r="D30" s="124" t="n">
        <x:v>10.46</x:v>
      </x:c>
      <x:c r="E30" s="124" t="n">
        <x:f>C30-D30</x:f>
        <x:v>10.739999999999998</x:v>
      </x:c>
      <x:c r="F30" s="124" t="n">
        <x:v>22.7</x:v>
      </x:c>
      <x:c r="G30" s="124" t="n">
        <x:v>10.34</x:v>
      </x:c>
      <x:c r="H30" s="124" t="n">
        <x:f>F30-G30</x:f>
        <x:v>12.36</x:v>
      </x:c>
      <x:c r="I30" s="125" t="n">
        <x:f>IF(H30=0,"",E30/H30-1)</x:f>
        <x:v>-0.1310679611650486</x:v>
      </x:c>
      <x:c r="J30" s="123" t="str">
        <x:v>IDC_FINAL</x:v>
      </x:c>
      <x:c r="K30" s="126" t="str">
        <x:v>IDC 26Q1 最终历史数据（2026-05-07）</x:v>
      </x:c>
      <x:c r="L30" s="126" t="str">
        <x:v>https://www.idc.com/promo/smartphone-market-share/</x:v>
      </x:c>
    </x:row>
    <x:row r="31">
      <x:c r="A31" s="123" t="str">
        <x:v>26Q2</x:v>
      </x:c>
      <x:c r="B31" s="123" t="str">
        <x:v>vivo</x:v>
      </x:c>
      <x:c r="C31" s="124" t="n">
        <x:v>21.2</x:v>
      </x:c>
      <x:c r="D31" s="124" t="n">
        <x:v>10.57</x:v>
      </x:c>
      <x:c r="E31" s="124" t="n">
        <x:f>C31-D31</x:f>
        <x:v>10.629999999999999</x:v>
      </x:c>
      <x:c r="F31" s="124" t="n">
        <x:v>26.3</x:v>
      </x:c>
      <x:c r="G31" s="124" t="n">
        <x:v>11.92</x:v>
      </x:c>
      <x:c r="H31" s="124" t="n">
        <x:f>F31-G31</x:f>
        <x:v>14.38</x:v>
      </x:c>
      <x:c r="I31" s="125" t="n">
        <x:f>IF(H31=0,"",E31/H31-1)</x:f>
        <x:v>-0.2607788595271211</x:v>
      </x:c>
      <x:c r="J31" s="123" t="str">
        <x:v>IDC_PRELIM</x:v>
      </x:c>
      <x:c r="K31" s="126" t="str">
        <x:v>IDC 26Q2 初值（2026-07-13）</x:v>
      </x:c>
      <x:c r="L31" s="126" t="str">
        <x:v>https://www.idc.com/resource-center/press-releases/2q26-mpt-top5/</x:v>
      </x:c>
    </x:row>
    <x:row r="32">
      <x:c r="A32" s="123" t="str">
        <x:v>25Q1</x:v>
      </x:c>
      <x:c r="B32" s="123" t="str">
        <x:v>OPPO</x:v>
      </x:c>
      <x:c r="C32" s="124" t="n">
        <x:v>34.1</x:v>
      </x:c>
      <x:c r="D32" s="124" t="n">
        <x:v>11.99</x:v>
      </x:c>
      <x:c r="E32" s="124" t="n">
        <x:f>C32-D32</x:f>
        <x:v>22.11</x:v>
      </x:c>
      <x:c r="F32" s="124" t="n">
        <x:v>25.2</x:v>
      </x:c>
      <x:c r="G32" s="124" t="n">
        <x:v>11.7</x:v>
      </x:c>
      <x:c r="H32" s="124" t="n">
        <x:f>F32-G32</x:f>
        <x:v>13.5</x:v>
      </x:c>
      <x:c r="I32" s="125" t="n">
        <x:f>IF(H32=0,"",E32/H32-1)</x:f>
        <x:v>0.6377777777777778</x:v>
      </x:c>
      <x:c r="J32" s="123" t="str">
        <x:v>IDC_REVISED</x:v>
      </x:c>
      <x:c r="K32" s="126" t="str">
        <x:v>IDC 25Q1 初值；25Q1 Top5 与总量按 IDC 26Q1 最终历史表重列</x:v>
      </x:c>
      <x:c r="L32" s="126" t="str">
        <x:v>https://www.idc.com/resource-center/press-releases/worldwide-smartphone-market-grew-1-5-in-q1-2025-amid-on-going-us-china-trade-tension-according-to-idc/</x:v>
      </x:c>
    </x:row>
    <x:row r="33">
      <x:c r="A33" s="123" t="str">
        <x:v>25Q2</x:v>
      </x:c>
      <x:c r="B33" s="123" t="str">
        <x:v>OPPO</x:v>
      </x:c>
      <x:c r="C33" s="124" t="n">
        <x:v>34.9</x:v>
      </x:c>
      <x:c r="D33" s="124" t="n">
        <x:v>11.73</x:v>
      </x:c>
      <x:c r="E33" s="124" t="n">
        <x:f>C33-D33</x:f>
        <x:v>23.169999999999998</x:v>
      </x:c>
      <x:c r="F33" s="124" t="n">
        <x:v>28.2</x:v>
      </x:c>
      <x:c r="G33" s="124" t="n">
        <x:v>12.17</x:v>
      </x:c>
      <x:c r="H33" s="124" t="n">
        <x:f>F33-G33</x:f>
        <x:v>16.03</x:v>
      </x:c>
      <x:c r="I33" s="125" t="n">
        <x:f>IF(H33=0,"",E33/H33-1)</x:f>
        <x:v>0.44541484716157176</x:v>
      </x:c>
      <x:c r="J33" s="123" t="str">
        <x:v>IDC_REVISED</x:v>
      </x:c>
      <x:c r="K33" s="126" t="str">
        <x:v>IDC 25Q2 初值；25Q2 Top5 与总量按 IDC 26Q2 对比表重列</x:v>
      </x:c>
      <x:c r="L33" s="126" t="str">
        <x:v>https://www.idc.com/resource-center/press-releases/worldwide-smartphone-market-grows-1-0-in-q2-2025-despite-global-uncertainty-and-weak-demand-in-china-according-to-idc/</x:v>
      </x:c>
    </x:row>
    <x:row r="34">
      <x:c r="A34" s="123" t="str">
        <x:v>25Q3</x:v>
      </x:c>
      <x:c r="B34" s="123" t="str">
        <x:v>OPPO</x:v>
      </x:c>
      <x:c r="C34" s="124" t="n">
        <x:v>26.5</x:v>
      </x:c>
      <x:c r="D34" s="124" t="n">
        <x:v>10.86</x:v>
      </x:c>
      <x:c r="E34" s="124" t="n">
        <x:f>C34-D34</x:f>
        <x:v>15.64</x:v>
      </x:c>
      <x:c r="F34" s="124" t="n">
        <x:v>26</x:v>
      </x:c>
      <x:c r="G34" s="124" t="n">
        <x:v>10.77</x:v>
      </x:c>
      <x:c r="H34" s="124" t="n">
        <x:f>F34-G34</x:f>
        <x:v>15.23</x:v>
      </x:c>
      <x:c r="I34" s="125" t="n">
        <x:f>IF(H34=0,"",E34/H34-1)</x:f>
        <x:v>0.02692055154300732</x:v>
      </x:c>
      <x:c r="J34" s="123" t="str">
        <x:v>IDC_OLD_SCOPE</x:v>
      </x:c>
      <x:c r="K34" s="126" t="str">
        <x:v>IDC 25Q3 最终历史数据（2025-11-06）</x:v>
      </x:c>
      <x:c r="L34" s="126" t="str">
        <x:v>https://www.idc.com/promo/smartphone-market-share/</x:v>
      </x:c>
    </x:row>
    <x:row r="35">
      <x:c r="A35" s="123" t="str">
        <x:v>25Q4</x:v>
      </x:c>
      <x:c r="B35" s="123" t="str">
        <x:v>OPPO</x:v>
      </x:c>
      <x:c r="C35" s="124" t="n">
        <x:v>26.9</x:v>
      </x:c>
      <x:c r="D35" s="124" t="n">
        <x:v>12.56</x:v>
      </x:c>
      <x:c r="E35" s="124" t="n">
        <x:f>C35-D35</x:f>
        <x:v>14.339999999999998</x:v>
      </x:c>
      <x:c r="F35" s="124" t="n">
        <x:v>25</x:v>
      </x:c>
      <x:c r="G35" s="124" t="n">
        <x:v>11.39</x:v>
      </x:c>
      <x:c r="H35" s="124" t="n">
        <x:f>F35-G35</x:f>
        <x:v>13.61</x:v>
      </x:c>
      <x:c r="I35" s="125" t="n">
        <x:f>IF(H35=0,"",E35/H35-1)</x:f>
        <x:v>0.053637031594415685</x:v>
      </x:c>
      <x:c r="J35" s="123" t="str">
        <x:v>IDC_OLD_SCOPE</x:v>
      </x:c>
      <x:c r="K35" s="126" t="str">
        <x:v>IDC 25Q4 初值（2026-01-13）</x:v>
      </x:c>
      <x:c r="L35" s="126" t="str">
        <x:v>https://www.idc.com/resource-center/press-releases/q425mobilephonetop5/</x:v>
      </x:c>
    </x:row>
    <x:row r="36">
      <x:c r="A36" s="123" t="str">
        <x:v>26Q1</x:v>
      </x:c>
      <x:c r="B36" s="123" t="str">
        <x:v>OPPO</x:v>
      </x:c>
      <x:c r="C36" s="124" t="n">
        <x:v>30.7</x:v>
      </x:c>
      <x:c r="D36" s="124" t="n">
        <x:v>11.01</x:v>
      </x:c>
      <x:c r="E36" s="124" t="n">
        <x:f>C36-D36</x:f>
        <x:v>19.689999999999998</x:v>
      </x:c>
      <x:c r="F36" s="124" t="n">
        <x:v>34.1</x:v>
      </x:c>
      <x:c r="G36" s="124" t="n">
        <x:v>11.99</x:v>
      </x:c>
      <x:c r="H36" s="124" t="n">
        <x:f>F36-G36</x:f>
        <x:v>22.11</x:v>
      </x:c>
      <x:c r="I36" s="125" t="n">
        <x:f>IF(H36=0,"",E36/H36-1)</x:f>
        <x:v>-0.10945273631840802</x:v>
      </x:c>
      <x:c r="J36" s="123" t="str">
        <x:v>IDC_FINAL</x:v>
      </x:c>
      <x:c r="K36" s="126" t="str">
        <x:v>IDC 26Q1 最终历史数据（2026-05-07）</x:v>
      </x:c>
      <x:c r="L36" s="126" t="str">
        <x:v>https://www.idc.com/promo/smartphone-market-share/</x:v>
      </x:c>
    </x:row>
    <x:row r="37">
      <x:c r="A37" s="123" t="str">
        <x:v>26Q2</x:v>
      </x:c>
      <x:c r="B37" s="123" t="str">
        <x:v>OPPO</x:v>
      </x:c>
      <x:c r="C37" s="124" t="n">
        <x:v>28.8</x:v>
      </x:c>
      <x:c r="D37" s="124" t="n">
        <x:v>10.59</x:v>
      </x:c>
      <x:c r="E37" s="124" t="n">
        <x:f>C37-D37</x:f>
        <x:v>18.21</x:v>
      </x:c>
      <x:c r="F37" s="124" t="n">
        <x:v>34.9</x:v>
      </x:c>
      <x:c r="G37" s="124" t="n">
        <x:v>11.73</x:v>
      </x:c>
      <x:c r="H37" s="124" t="n">
        <x:f>F37-G37</x:f>
        <x:v>23.169999999999998</x:v>
      </x:c>
      <x:c r="I37" s="125" t="n">
        <x:f>IF(H37=0,"",E37/H37-1)</x:f>
        <x:v>-0.21406991799741037</x:v>
      </x:c>
      <x:c r="J37" s="123" t="str">
        <x:v>IDC_PRELIM</x:v>
      </x:c>
      <x:c r="K37" s="126" t="str">
        <x:v>IDC 26Q2 初值（2026-07-13）</x:v>
      </x:c>
      <x:c r="L37" s="126" t="str">
        <x:v>https://www.idc.com/resource-center/press-releases/2q26-mpt-top5/</x:v>
      </x:c>
    </x:row>
    <x:row r="38">
      <x:c r="A38" s="123" t="str">
        <x:v>25Q1</x:v>
      </x:c>
      <x:c r="B38" s="123" t="str">
        <x:v>Huawei</x:v>
      </x:c>
      <x:c r="C38" s="124" t="n">
        <x:v>16.4</x:v>
      </x:c>
      <x:c r="D38" s="124" t="n">
        <x:v>15.02</x:v>
      </x:c>
      <x:c r="E38" s="124" t="n">
        <x:f>C38-D38</x:f>
        <x:v>1.379999999999999</x:v>
      </x:c>
      <x:c r="F38" s="124" t="n">
        <x:v>14.9</x:v>
      </x:c>
      <x:c r="G38" s="124" t="n">
        <x:v>13.52</x:v>
      </x:c>
      <x:c r="H38" s="124" t="n">
        <x:f>F38-G38</x:f>
        <x:v>1.3800000000000008</x:v>
      </x:c>
      <x:c r="I38" s="125" t="n">
        <x:f>IF(H38=0,"",E38/H38-1)</x:f>
        <x:v>-1.3322676295501878e-15</x:v>
      </x:c>
      <x:c r="J38" s="123" t="str">
        <x:v>ESTIMATE</x:v>
      </x:c>
      <x:c r="K38" s="126" t="str">
        <x:v>IDC 25Q1 初值；25Q1 Top5 与总量按 IDC 26Q1 最终历史表重列</x:v>
      </x:c>
      <x:c r="L38" s="126" t="str">
        <x:v>https://www.idc.com/resource-center/press-releases/worldwide-smartphone-market-grew-1-5-in-q1-2025-amid-on-going-us-china-trade-tension-according-to-idc/</x:v>
      </x:c>
    </x:row>
    <x:row r="39">
      <x:c r="A39" s="123" t="str">
        <x:v>25Q2</x:v>
      </x:c>
      <x:c r="B39" s="123" t="str">
        <x:v>Huawei</x:v>
      </x:c>
      <x:c r="C39" s="124" t="n">
        <x:v>16.3</x:v>
      </x:c>
      <x:c r="D39" s="124" t="n">
        <x:v>14.9</x:v>
      </x:c>
      <x:c r="E39" s="124" t="n">
        <x:f>C39-D39</x:f>
        <x:v>1.4000000000000004</x:v>
      </x:c>
      <x:c r="F39" s="124" t="n">
        <x:v>16.2</x:v>
      </x:c>
      <x:c r="G39" s="124" t="n">
        <x:v>14.8</x:v>
      </x:c>
      <x:c r="H39" s="124" t="n">
        <x:f>F39-G39</x:f>
        <x:v>1.3999999999999986</x:v>
      </x:c>
      <x:c r="I39" s="125" t="n">
        <x:f>IF(H39=0,"",E39/H39-1)</x:f>
        <x:v>1.3322676295501878e-15</x:v>
      </x:c>
      <x:c r="J39" s="123" t="str">
        <x:v>ESTIMATE</x:v>
      </x:c>
      <x:c r="K39" s="126" t="str">
        <x:v>IDC 25Q2 初值；25Q2 Top5 与总量按 IDC 26Q2 对比表重列</x:v>
      </x:c>
      <x:c r="L39" s="126" t="str">
        <x:v>https://www.idc.com/resource-center/press-releases/worldwide-smartphone-market-grows-1-0-in-q2-2025-despite-global-uncertainty-and-weak-demand-in-china-according-to-idc/</x:v>
      </x:c>
    </x:row>
    <x:row r="40">
      <x:c r="A40" s="123" t="str">
        <x:v>25Q3</x:v>
      </x:c>
      <x:c r="B40" s="123" t="str">
        <x:v>Huawei</x:v>
      </x:c>
      <x:c r="C40" s="124" t="n">
        <x:v>14.3</x:v>
      </x:c>
      <x:c r="D40" s="124" t="n">
        <x:v>12.9</x:v>
      </x:c>
      <x:c r="E40" s="124" t="n">
        <x:f>C40-D40</x:f>
        <x:v>1.4000000000000004</x:v>
      </x:c>
      <x:c r="F40" s="124" t="n">
        <x:v>13.8</x:v>
      </x:c>
      <x:c r="G40" s="124" t="n">
        <x:v>12.45</x:v>
      </x:c>
      <x:c r="H40" s="124" t="n">
        <x:f>F40-G40</x:f>
        <x:v>1.3500000000000014</x:v>
      </x:c>
      <x:c r="I40" s="125" t="n">
        <x:f>IF(H40=0,"",E40/H40-1)</x:f>
        <x:v>0.03703703703703631</x:v>
      </x:c>
      <x:c r="J40" s="123" t="str">
        <x:v>ESTIMATE</x:v>
      </x:c>
      <x:c r="K40" s="126" t="str">
        <x:v>IDC 25Q3 最终历史数据（2025-11-06）</x:v>
      </x:c>
      <x:c r="L40" s="126" t="str">
        <x:v>https://www.idc.com/promo/smartphone-market-share/</x:v>
      </x:c>
    </x:row>
    <x:row r="41">
      <x:c r="A41" s="123" t="str">
        <x:v>25Q4</x:v>
      </x:c>
      <x:c r="B41" s="123" t="str">
        <x:v>Huawei</x:v>
      </x:c>
      <x:c r="C41" s="124" t="n">
        <x:v>14.6</x:v>
      </x:c>
      <x:c r="D41" s="124" t="n">
        <x:v>13.15</x:v>
      </x:c>
      <x:c r="E41" s="124" t="n">
        <x:f>C41-D41</x:f>
        <x:v>1.4499999999999993</x:v>
      </x:c>
      <x:c r="F41" s="124" t="n">
        <x:v>15.6</x:v>
      </x:c>
      <x:c r="G41" s="124" t="n">
        <x:v>14.13</x:v>
      </x:c>
      <x:c r="H41" s="124" t="n">
        <x:f>F41-G41</x:f>
        <x:v>1.4699999999999989</x:v>
      </x:c>
      <x:c r="I41" s="125" t="n">
        <x:f>IF(H41=0,"",E41/H41-1)</x:f>
        <x:v>-0.01360544217687043</x:v>
      </x:c>
      <x:c r="J41" s="123" t="str">
        <x:v>ESTIMATE</x:v>
      </x:c>
      <x:c r="K41" s="126" t="str">
        <x:v>IDC 25Q4 初值（2026-01-13）</x:v>
      </x:c>
      <x:c r="L41" s="126" t="str">
        <x:v>https://www.idc.com/resource-center/press-releases/q425mobilephonetop5/</x:v>
      </x:c>
    </x:row>
    <x:row r="42">
      <x:c r="A42" s="123" t="str">
        <x:v>26Q1</x:v>
      </x:c>
      <x:c r="B42" s="123" t="str">
        <x:v>Huawei</x:v>
      </x:c>
      <x:c r="C42" s="124" t="n">
        <x:v>16.5</x:v>
      </x:c>
      <x:c r="D42" s="124" t="n">
        <x:v>15.01</x:v>
      </x:c>
      <x:c r="E42" s="124" t="n">
        <x:f>C42-D42</x:f>
        <x:v>1.4900000000000002</x:v>
      </x:c>
      <x:c r="F42" s="124" t="n">
        <x:v>16.4</x:v>
      </x:c>
      <x:c r="G42" s="124" t="n">
        <x:v>15.02</x:v>
      </x:c>
      <x:c r="H42" s="124" t="n">
        <x:f>F42-G42</x:f>
        <x:v>1.379999999999999</x:v>
      </x:c>
      <x:c r="I42" s="125" t="n">
        <x:f>IF(H42=0,"",E42/H42-1)</x:f>
        <x:v>0.07971014492753725</x:v>
      </x:c>
      <x:c r="J42" s="123" t="str">
        <x:v>ESTIMATE</x:v>
      </x:c>
      <x:c r="K42" s="126" t="str">
        <x:v>IDC 26Q1 最终历史数据（2026-05-07）</x:v>
      </x:c>
      <x:c r="L42" s="126" t="str">
        <x:v>https://www.idc.com/promo/smartphone-market-share/</x:v>
      </x:c>
    </x:row>
    <x:row r="43">
      <x:c r="A43" s="123" t="str">
        <x:v>26Q2</x:v>
      </x:c>
      <x:c r="B43" s="123" t="str">
        <x:v>Huawei</x:v>
      </x:c>
      <x:c r="C43" s="124" t="n">
        <x:v>19.7</x:v>
      </x:c>
      <x:c r="D43" s="124" t="n">
        <x:v>15.74</x:v>
      </x:c>
      <x:c r="E43" s="124" t="n">
        <x:f>C43-D43</x:f>
        <x:v>3.959999999999999</x:v>
      </x:c>
      <x:c r="F43" s="124" t="n">
        <x:v>16.3</x:v>
      </x:c>
      <x:c r="G43" s="124" t="n">
        <x:v>14.9</x:v>
      </x:c>
      <x:c r="H43" s="124" t="n">
        <x:f>F43-G43</x:f>
        <x:v>1.4000000000000004</x:v>
      </x:c>
      <x:c r="I43" s="125" t="n">
        <x:f>IF(H43=0,"",E43/H43-1)</x:f>
        <x:v>1.8285714285714274</x:v>
      </x:c>
      <x:c r="J43" s="123" t="str">
        <x:v>IDC_YOY_DERIVED</x:v>
      </x:c>
      <x:c r="K43" s="126" t="str">
        <x:v>IDC 26Q2 初值（2026-07-13）</x:v>
      </x:c>
      <x:c r="L43" s="126" t="str">
        <x:v>https://www.idc.com/resource-center/press-releases/2q26-mpt-top5/</x:v>
      </x:c>
    </x:row>
    <x:row r="44">
      <x:c r="A44" s="123" t="str">
        <x:v>25Q1</x:v>
      </x:c>
      <x:c r="B44" s="123" t="str">
        <x:v>Transsion</x:v>
      </x:c>
      <x:c r="C44" s="124" t="n">
        <x:v>25</x:v>
      </x:c>
      <x:c r="D44" s="124" t="n">
        <x:v>0.1</x:v>
      </x:c>
      <x:c r="E44" s="124" t="n">
        <x:f>C44-D44</x:f>
        <x:v>24.9</x:v>
      </x:c>
      <x:c r="F44" s="124" t="n">
        <x:v>28.5</x:v>
      </x:c>
      <x:c r="G44" s="124" t="n">
        <x:v>0.1</x:v>
      </x:c>
      <x:c r="H44" s="124" t="n">
        <x:f>F44-G44</x:f>
        <x:v>28.4</x:v>
      </x:c>
      <x:c r="I44" s="125" t="n">
        <x:f>IF(H44=0,"",E44/H44-1)</x:f>
        <x:v>-0.12323943661971837</x:v>
      </x:c>
      <x:c r="J44" s="123" t="str">
        <x:v>ESTIMATE</x:v>
      </x:c>
      <x:c r="K44" s="126" t="str">
        <x:v>IDC 25Q1 初值；25Q1 Top5 与总量按 IDC 26Q1 最终历史表重列</x:v>
      </x:c>
      <x:c r="L44" s="126" t="str">
        <x:v>https://www.idc.com/resource-center/press-releases/worldwide-smartphone-market-grew-1-5-in-q1-2025-amid-on-going-us-china-trade-tension-according-to-idc/</x:v>
      </x:c>
    </x:row>
    <x:row r="45">
      <x:c r="A45" s="123" t="str">
        <x:v>25Q2</x:v>
      </x:c>
      <x:c r="B45" s="123" t="str">
        <x:v>Transsion</x:v>
      </x:c>
      <x:c r="C45" s="124" t="n">
        <x:v>25.1</x:v>
      </x:c>
      <x:c r="D45" s="124" t="n">
        <x:v>0.1</x:v>
      </x:c>
      <x:c r="E45" s="124" t="n">
        <x:f>C45-D45</x:f>
        <x:v>25</x:v>
      </x:c>
      <x:c r="F45" s="124" t="n">
        <x:v>25.5</x:v>
      </x:c>
      <x:c r="G45" s="124" t="n">
        <x:v>0.1</x:v>
      </x:c>
      <x:c r="H45" s="124" t="n">
        <x:f>F45-G45</x:f>
        <x:v>25.4</x:v>
      </x:c>
      <x:c r="I45" s="125" t="n">
        <x:f>IF(H45=0,"",E45/H45-1)</x:f>
        <x:v>-0.015748031496062964</x:v>
      </x:c>
      <x:c r="J45" s="123" t="str">
        <x:v>IDC_PRELIM</x:v>
      </x:c>
      <x:c r="K45" s="126" t="str">
        <x:v>IDC 25Q2 初值；25Q2 Top5 与总量按 IDC 26Q2 对比表重列</x:v>
      </x:c>
      <x:c r="L45" s="126" t="str">
        <x:v>https://www.idc.com/resource-center/press-releases/worldwide-smartphone-market-grows-1-0-in-q2-2025-despite-global-uncertainty-and-weak-demand-in-china-according-to-idc/</x:v>
      </x:c>
    </x:row>
    <x:row r="46">
      <x:c r="A46" s="123" t="str">
        <x:v>25Q3</x:v>
      </x:c>
      <x:c r="B46" s="123" t="str">
        <x:v>Transsion</x:v>
      </x:c>
      <x:c r="C46" s="124" t="n">
        <x:v>29.2</x:v>
      </x:c>
      <x:c r="D46" s="124" t="n">
        <x:v>0.1</x:v>
      </x:c>
      <x:c r="E46" s="124" t="n">
        <x:f>C46-D46</x:f>
        <x:v>29.099999999999998</x:v>
      </x:c>
      <x:c r="F46" s="124" t="n">
        <x:v>25.7</x:v>
      </x:c>
      <x:c r="G46" s="124" t="n">
        <x:v>0.1</x:v>
      </x:c>
      <x:c r="H46" s="124" t="n">
        <x:f>F46-G46</x:f>
        <x:v>25.599999999999998</x:v>
      </x:c>
      <x:c r="I46" s="125" t="n">
        <x:f>IF(H46=0,"",E46/H46-1)</x:f>
        <x:v>0.13671875</x:v>
      </x:c>
      <x:c r="J46" s="123" t="str">
        <x:v>IDC_FINAL</x:v>
      </x:c>
      <x:c r="K46" s="126" t="str">
        <x:v>IDC 25Q3 最终历史数据（2025-11-06）</x:v>
      </x:c>
      <x:c r="L46" s="126" t="str">
        <x:v>https://www.idc.com/promo/smartphone-market-share/</x:v>
      </x:c>
    </x:row>
    <x:row r="47">
      <x:c r="A47" s="123" t="str">
        <x:v>25Q4</x:v>
      </x:c>
      <x:c r="B47" s="123" t="str">
        <x:v>Transsion</x:v>
      </x:c>
      <x:c r="C47" s="124" t="n">
        <x:v>25</x:v>
      </x:c>
      <x:c r="D47" s="124" t="n">
        <x:v>0.1</x:v>
      </x:c>
      <x:c r="E47" s="124" t="n">
        <x:f>C47-D47</x:f>
        <x:v>24.9</x:v>
      </x:c>
      <x:c r="F47" s="124" t="n">
        <x:v>25.4</x:v>
      </x:c>
      <x:c r="G47" s="124" t="n">
        <x:v>0.1</x:v>
      </x:c>
      <x:c r="H47" s="124" t="n">
        <x:f>F47-G47</x:f>
        <x:v>25.299999999999997</x:v>
      </x:c>
      <x:c r="I47" s="125" t="n">
        <x:f>IF(H47=0,"",E47/H47-1)</x:f>
        <x:v>-0.015810276679841806</x:v>
      </x:c>
      <x:c r="J47" s="123" t="str">
        <x:v>ESTIMATE</x:v>
      </x:c>
      <x:c r="K47" s="126" t="str">
        <x:v>IDC 25Q4 初值（2026-01-13）</x:v>
      </x:c>
      <x:c r="L47" s="126" t="str">
        <x:v>https://www.idc.com/resource-center/press-releases/q425mobilephonetop5/</x:v>
      </x:c>
    </x:row>
    <x:row r="48">
      <x:c r="A48" s="123" t="str">
        <x:v>26Q1</x:v>
      </x:c>
      <x:c r="B48" s="123" t="str">
        <x:v>Transsion</x:v>
      </x:c>
      <x:c r="C48" s="124" t="n">
        <x:v>19.5</x:v>
      </x:c>
      <x:c r="D48" s="124" t="n">
        <x:v>0.1</x:v>
      </x:c>
      <x:c r="E48" s="124" t="n">
        <x:f>C48-D48</x:f>
        <x:v>19.4</x:v>
      </x:c>
      <x:c r="F48" s="124" t="n">
        <x:v>25</x:v>
      </x:c>
      <x:c r="G48" s="124" t="n">
        <x:v>0.1</x:v>
      </x:c>
      <x:c r="H48" s="124" t="n">
        <x:f>F48-G48</x:f>
        <x:v>24.9</x:v>
      </x:c>
      <x:c r="I48" s="125" t="n">
        <x:f>IF(H48=0,"",E48/H48-1)</x:f>
        <x:v>-0.22088353413654616</x:v>
      </x:c>
      <x:c r="J48" s="123" t="str">
        <x:v>ESTIMATE</x:v>
      </x:c>
      <x:c r="K48" s="126" t="str">
        <x:v>IDC 26Q1 最终历史数据（2026-05-07）</x:v>
      </x:c>
      <x:c r="L48" s="126" t="str">
        <x:v>https://www.idc.com/promo/smartphone-market-share/</x:v>
      </x:c>
    </x:row>
    <x:row r="49">
      <x:c r="A49" s="123" t="str">
        <x:v>26Q2</x:v>
      </x:c>
      <x:c r="B49" s="123" t="str">
        <x:v>Transsion</x:v>
      </x:c>
      <x:c r="C49" s="124" t="n">
        <x:v>18.5</x:v>
      </x:c>
      <x:c r="D49" s="124" t="n">
        <x:v>0.1</x:v>
      </x:c>
      <x:c r="E49" s="124" t="n">
        <x:f>C49-D49</x:f>
        <x:v>18.4</x:v>
      </x:c>
      <x:c r="F49" s="124" t="n">
        <x:v>25.1</x:v>
      </x:c>
      <x:c r="G49" s="124" t="n">
        <x:v>0.1</x:v>
      </x:c>
      <x:c r="H49" s="124" t="n">
        <x:f>F49-G49</x:f>
        <x:v>25</x:v>
      </x:c>
      <x:c r="I49" s="125" t="n">
        <x:f>IF(H49=0,"",E49/H49-1)</x:f>
        <x:v>-0.264</x:v>
      </x:c>
      <x:c r="J49" s="123" t="str">
        <x:v>ESTIMATE</x:v>
      </x:c>
      <x:c r="K49" s="126" t="str">
        <x:v>IDC 26Q2 初值（2026-07-13）</x:v>
      </x:c>
      <x:c r="L49" s="126" t="str">
        <x:v>https://www.idc.com/resource-center/press-releases/2q26-mpt-top5/</x:v>
      </x:c>
    </x:row>
    <x:row r="50">
      <x:c r="A50" s="123" t="str">
        <x:v>25Q1</x:v>
      </x:c>
      <x:c r="B50" s="123" t="str">
        <x:v>市场总计</x:v>
      </x:c>
      <x:c r="C50" s="124" t="n">
        <x:v>302.6</x:v>
      </x:c>
      <x:c r="D50" s="124" t="n">
        <x:v>71.4</x:v>
      </x:c>
      <x:c r="E50" s="124" t="n">
        <x:f>C50-D50</x:f>
        <x:v>231.20000000000002</x:v>
      </x:c>
      <x:c r="F50" s="124" t="n">
        <x:v>289.4</x:v>
      </x:c>
      <x:c r="G50" s="124" t="n">
        <x:v>69.3</x:v>
      </x:c>
      <x:c r="H50" s="124" t="n">
        <x:f>F50-G50</x:f>
        <x:v>220.09999999999997</x:v>
      </x:c>
      <x:c r="I50" s="125" t="n">
        <x:f>IF(H50=0,"",E50/H50-1)</x:f>
        <x:v>0.05043162199000473</x:v>
      </x:c>
      <x:c r="J50" s="123" t="str">
        <x:v>IDC_GLOBAL_TOTAL / CHINA_CONFIRMED</x:v>
      </x:c>
      <x:c r="K50" s="126" t="str">
        <x:v>IDC 25Q1 初值；25Q1 Top5 与总量按 IDC 26Q1 最终历史表重列；中国总量为用户确认准确底稿</x:v>
      </x:c>
      <x:c r="L50" s="126" t="str">
        <x:v>https://www.idc.com/resource-center/press-releases/worldwide-smartphone-market-grew-1-5-in-q1-2025-amid-on-going-us-china-trade-tension-according-to-idc/</x:v>
      </x:c>
    </x:row>
    <x:row r="51">
      <x:c r="A51" s="123" t="str">
        <x:v>25Q2</x:v>
      </x:c>
      <x:c r="B51" s="123" t="str">
        <x:v>市场总计</x:v>
      </x:c>
      <x:c r="C51" s="124" t="n">
        <x:v>297.4</x:v>
      </x:c>
      <x:c r="D51" s="124" t="n">
        <x:v>69</x:v>
      </x:c>
      <x:c r="E51" s="124" t="n">
        <x:f>C51-D51</x:f>
        <x:v>228.39999999999998</x:v>
      </x:c>
      <x:c r="F51" s="124" t="n">
        <x:v>292.2</x:v>
      </x:c>
      <x:c r="G51" s="124" t="n">
        <x:v>71.8</x:v>
      </x:c>
      <x:c r="H51" s="124" t="n">
        <x:f>F51-G51</x:f>
        <x:v>220.39999999999998</x:v>
      </x:c>
      <x:c r="I51" s="125" t="n">
        <x:f>IF(H51=0,"",E51/H51-1)</x:f>
        <x:v>0.0362976406533575</x:v>
      </x:c>
      <x:c r="J51" s="123" t="str">
        <x:v>IDC_GLOBAL_TOTAL / CHINA_CONFIRMED</x:v>
      </x:c>
      <x:c r="K51" s="126" t="str">
        <x:v>IDC 25Q2 初值；25Q2 Top5 与总量按 IDC 26Q2 对比表重列；中国总量为用户确认准确底稿</x:v>
      </x:c>
      <x:c r="L51" s="126" t="str">
        <x:v>https://www.idc.com/resource-center/press-releases/worldwide-smartphone-market-grows-1-0-in-q2-2025-despite-global-uncertainty-and-weak-demand-in-china-according-to-idc/</x:v>
      </x:c>
    </x:row>
    <x:row r="52">
      <x:c r="A52" s="123" t="str">
        <x:v>25Q3</x:v>
      </x:c>
      <x:c r="B52" s="123" t="str">
        <x:v>市场总计</x:v>
      </x:c>
      <x:c r="C52" s="124" t="n">
        <x:v>325.7</x:v>
      </x:c>
      <x:c r="D52" s="124" t="n">
        <x:v>68.5</x:v>
      </x:c>
      <x:c r="E52" s="124" t="n">
        <x:f>C52-D52</x:f>
        <x:v>257.2</x:v>
      </x:c>
      <x:c r="F52" s="124" t="n">
        <x:v>316.1</x:v>
      </x:c>
      <x:c r="G52" s="124" t="n">
        <x:v>68.8</x:v>
      </x:c>
      <x:c r="H52" s="124" t="n">
        <x:f>F52-G52</x:f>
        <x:v>247.3</x:v>
      </x:c>
      <x:c r="I52" s="125" t="n">
        <x:f>IF(H52=0,"",E52/H52-1)</x:f>
        <x:v>0.04003234937323086</x:v>
      </x:c>
      <x:c r="J52" s="123" t="str">
        <x:v>IDC_GLOBAL_TOTAL / CHINA_CONFIRMED</x:v>
      </x:c>
      <x:c r="K52" s="126" t="str">
        <x:v>IDC 25Q3 最终历史数据（2025-11-06）；中国总量为用户确认准确底稿</x:v>
      </x:c>
      <x:c r="L52" s="126" t="str">
        <x:v>https://www.idc.com/promo/smartphone-market-share/</x:v>
      </x:c>
    </x:row>
    <x:row r="53">
      <x:c r="A53" s="123" t="str">
        <x:v>25Q4</x:v>
      </x:c>
      <x:c r="B53" s="123" t="str">
        <x:v>市场总计</x:v>
      </x:c>
      <x:c r="C53" s="124" t="n">
        <x:v>336.3</x:v>
      </x:c>
      <x:c r="D53" s="124" t="n">
        <x:v>75.7</x:v>
      </x:c>
      <x:c r="E53" s="124" t="n">
        <x:f>C53-D53</x:f>
        <x:v>260.6</x:v>
      </x:c>
      <x:c r="F53" s="124" t="n">
        <x:v>331.7</x:v>
      </x:c>
      <x:c r="G53" s="124" t="n">
        <x:v>76.4</x:v>
      </x:c>
      <x:c r="H53" s="124" t="n">
        <x:f>F53-G53</x:f>
        <x:v>255.29999999999998</x:v>
      </x:c>
      <x:c r="I53" s="125" t="n">
        <x:f>IF(H53=0,"",E53/H53-1)</x:f>
        <x:v>0.020759890325107833</x:v>
      </x:c>
      <x:c r="J53" s="123" t="str">
        <x:v>IDC_GLOBAL_TOTAL / CHINA_CONFIRMED</x:v>
      </x:c>
      <x:c r="K53" s="126" t="str">
        <x:v>IDC 25Q4 初值（2026-01-13）；中国总量为用户确认准确底稿</x:v>
      </x:c>
      <x:c r="L53" s="126" t="str">
        <x:v>https://www.idc.com/resource-center/press-releases/q425mobilephonetop5/</x:v>
      </x:c>
    </x:row>
    <x:row r="54">
      <x:c r="A54" s="123" t="str">
        <x:v>26Q1</x:v>
      </x:c>
      <x:c r="B54" s="123" t="str">
        <x:v>市场总计</x:v>
      </x:c>
      <x:c r="C54" s="124" t="n">
        <x:v>293.8</x:v>
      </x:c>
      <x:c r="D54" s="124" t="n">
        <x:v>68.4</x:v>
      </x:c>
      <x:c r="E54" s="124" t="n">
        <x:f>C54-D54</x:f>
        <x:v>225.4</x:v>
      </x:c>
      <x:c r="F54" s="124" t="n">
        <x:v>302.6</x:v>
      </x:c>
      <x:c r="G54" s="124" t="n">
        <x:v>71.4</x:v>
      </x:c>
      <x:c r="H54" s="124" t="n">
        <x:f>F54-G54</x:f>
        <x:v>231.20000000000002</x:v>
      </x:c>
      <x:c r="I54" s="125" t="n">
        <x:f>IF(H54=0,"",E54/H54-1)</x:f>
        <x:v>-0.025086505190311414</x:v>
      </x:c>
      <x:c r="J54" s="123" t="str">
        <x:v>IDC_GLOBAL_TOTAL / CHINA_CONFIRMED</x:v>
      </x:c>
      <x:c r="K54" s="126" t="str">
        <x:v>IDC 26Q1 最终历史数据（2026-05-07）；中国总量为用户确认准确底稿</x:v>
      </x:c>
      <x:c r="L54" s="126" t="str">
        <x:v>https://www.idc.com/promo/smartphone-market-share/</x:v>
      </x:c>
    </x:row>
    <x:row r="55">
      <x:c r="A55" s="123" t="str">
        <x:v>26Q2</x:v>
      </x:c>
      <x:c r="B55" s="123" t="str">
        <x:v>市场总计</x:v>
      </x:c>
      <x:c r="C55" s="124" t="n">
        <x:v>277.5</x:v>
      </x:c>
      <x:c r="D55" s="124" t="n">
        <x:v>65.9</x:v>
      </x:c>
      <x:c r="E55" s="124" t="n">
        <x:f>C55-D55</x:f>
        <x:v>211.6</x:v>
      </x:c>
      <x:c r="F55" s="124" t="n">
        <x:v>297.4</x:v>
      </x:c>
      <x:c r="G55" s="124" t="n">
        <x:v>69</x:v>
      </x:c>
      <x:c r="H55" s="124" t="n">
        <x:f>F55-G55</x:f>
        <x:v>228.39999999999998</x:v>
      </x:c>
      <x:c r="I55" s="125" t="n">
        <x:f>IF(H55=0,"",E55/H55-1)</x:f>
        <x:v>-0.07355516637478099</x:v>
      </x:c>
      <x:c r="J55" s="123" t="str">
        <x:v>IDC_GLOBAL_TOTAL / CHINA_CONFIRMED</x:v>
      </x:c>
      <x:c r="K55" s="126" t="str">
        <x:v>IDC 26Q2 初值（2026-07-13）；中国总量为用户确认准确底稿</x:v>
      </x:c>
      <x:c r="L55" s="126" t="str">
        <x:v>https://www.idc.com/resource-center/press-releases/2q26-mpt-top5/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8" hidden="0" customWidth="1"/>
    <x:col min="3" max="3" width="70" hidden="0" customWidth="1"/>
  </x:cols>
  <x:sheetData>
    <x:row r="1">
      <x:c r="A1" s="131" t="str">
        <x:v>  数据来源、公式与口径边界</x:v>
      </x:c>
      <x:c r="B1" s="131"/>
      <x:c r="C1" s="131"/>
    </x:row>
    <x:row r="2">
      <x:c r="A2" s="84"/>
      <x:c r="B2" s="84"/>
      <x:c r="C2" s="84"/>
    </x:row>
    <x:row r="3">
      <x:c r="A3" s="86" t="str">
        <x:v>项目</x:v>
      </x:c>
      <x:c r="B3" s="86" t="str">
        <x:v>定义</x:v>
      </x:c>
      <x:c r="C3" s="86" t="str">
        <x:v>处理</x:v>
      </x:c>
    </x:row>
    <x:row r="4">
      <x:c r="A4" s="132" t="str">
        <x:v>海外出货</x:v>
      </x:c>
      <x:c r="B4" s="132" t="str">
        <x:v>全球出货 − 中国出货</x:v>
      </x:c>
      <x:c r="C4" s="132" t="str">
        <x:v>计算值，不标成 IDC 直接披露</x:v>
      </x:c>
    </x:row>
    <x:row r="5">
      <x:c r="A5" s="132" t="str">
        <x:v>中国出货</x:v>
      </x:c>
      <x:c r="B5" s="132" t="str">
        <x:v>用户确认准确的 8 厂商季度数据与市场总量</x:v>
      </x:c>
      <x:c r="C5" s="132" t="str">
        <x:v>原值保留，不修改</x:v>
      </x:c>
    </x:row>
    <x:row r="6">
      <x:c r="A6" s="132" t="str">
        <x:v>全球出货</x:v>
      </x:c>
      <x:c r="B6" s="132" t="str">
        <x:v>IDC 公开季度表优先</x:v>
      </x:c>
      <x:c r="C6" s="132" t="str">
        <x:v>25Q1/25Q2 优先采用 2026 表中回溯重列值</x:v>
      </x:c>
    </x:row>
    <x:row r="7">
      <x:c r="A7" s="132" t="str">
        <x:v>未公开厂商</x:v>
      </x:c>
      <x:c r="B7" s="132" t="str">
        <x:v>Honor / Huawei / Transsion 部分季度</x:v>
      </x:c>
      <x:c r="C7" s="132" t="str">
        <x:v>公开新闻约束估算；对应单元格着色</x:v>
      </x:c>
    </x:row>
    <x:row r="8">
      <x:c r="A8" s="132" t="str">
        <x:v>OPPO</x:v>
      </x:c>
      <x:c r="B8" s="132" t="str">
        <x:v>IDC 自 26Q1 起并入 realme</x:v>
      </x:c>
      <x:c r="C8" s="132" t="str">
        <x:v>25Q3/25Q4 仍为旧公开口径，标红提示断点</x:v>
      </x:c>
    </x:row>
    <x:row r="9">
      <x:c r="A9" s="84"/>
      <x:c r="B9" s="84"/>
      <x:c r="C9" s="84"/>
    </x:row>
    <x:row r="10">
      <x:c r="A10" s="86" t="str">
        <x:v>季度</x:v>
      </x:c>
      <x:c r="B10" s="86" t="str">
        <x:v>来源说明</x:v>
      </x:c>
      <x:c r="C10" s="86" t="str">
        <x:v>URL</x:v>
      </x:c>
    </x:row>
    <x:row r="11">
      <x:c r="A11" s="132" t="str">
        <x:v>25Q1</x:v>
      </x:c>
      <x:c r="B11" s="132" t="str">
        <x:v>IDC 25Q1 初值；25Q1 Top5 与总量按 IDC 26Q1 最终历史表重列</x:v>
      </x:c>
      <x:c r="C11" s="132" t="str">
        <x:v>https://www.idc.com/resource-center/press-releases/worldwide-smartphone-market-grew-1-5-in-q1-2025-amid-on-going-us-china-trade-tension-according-to-idc/</x:v>
      </x:c>
    </x:row>
    <x:row r="12">
      <x:c r="A12" s="132" t="str">
        <x:v>25Q2</x:v>
      </x:c>
      <x:c r="B12" s="132" t="str">
        <x:v>IDC 25Q2 初值；25Q2 Top5 与总量按 IDC 26Q2 对比表重列</x:v>
      </x:c>
      <x:c r="C12" s="132" t="str">
        <x:v>https://www.idc.com/resource-center/press-releases/worldwide-smartphone-market-grows-1-0-in-q2-2025-despite-global-uncertainty-and-weak-demand-in-china-according-to-idc/</x:v>
      </x:c>
    </x:row>
    <x:row r="13">
      <x:c r="A13" s="132" t="str">
        <x:v>25Q3</x:v>
      </x:c>
      <x:c r="B13" s="132" t="str">
        <x:v>IDC 25Q3 最终历史数据（2025-11-06）</x:v>
      </x:c>
      <x:c r="C13" s="132" t="str">
        <x:v>https://www.idc.com/promo/smartphone-market-share/</x:v>
      </x:c>
    </x:row>
    <x:row r="14">
      <x:c r="A14" s="132" t="str">
        <x:v>25Q4</x:v>
      </x:c>
      <x:c r="B14" s="132" t="str">
        <x:v>IDC 25Q4 初值（2026-01-13）</x:v>
      </x:c>
      <x:c r="C14" s="132" t="str">
        <x:v>https://www.idc.com/resource-center/press-releases/q425mobilephonetop5/</x:v>
      </x:c>
    </x:row>
    <x:row r="15">
      <x:c r="A15" s="132" t="str">
        <x:v>26Q1</x:v>
      </x:c>
      <x:c r="B15" s="132" t="str">
        <x:v>IDC 26Q1 最终历史数据（2026-05-07）</x:v>
      </x:c>
      <x:c r="C15" s="132" t="str">
        <x:v>https://www.idc.com/promo/smartphone-market-share/</x:v>
      </x:c>
    </x:row>
    <x:row r="16">
      <x:c r="A16" s="132" t="str">
        <x:v>26Q2</x:v>
      </x:c>
      <x:c r="B16" s="132" t="str">
        <x:v>IDC 26Q2 初值（2026-07-13）</x:v>
      </x:c>
      <x:c r="C16" s="132" t="str">
        <x:v>https://www.idc.com/resource-center/press-releases/2q26-mpt-top5/</x:v>
      </x:c>
    </x:row>
    <x:row r="17">
      <x:c r="A17" s="132" t="str">
        <x:v>CROSSCHECK</x:v>
      </x:c>
      <x:c r="B17" s="132" t="str">
        <x:v>Omdia 25Q3 全球市场公开新闻（仅交叉验证，不混入 IDC 官方格）</x:v>
      </x:c>
      <x:c r="C17" s="132" t="str">
        <x:v>https://omdia.tech.informa.com/pr/2025/oct/omdia-global-smartphone-market-grows-3percent-in-q3-2025-led-by-emerging-economies</x:v>
      </x:c>
    </x:row>
    <x:row r="18">
      <x:c r="A18" s="84"/>
      <x:c r="B18" s="84"/>
      <x:c r="C18" s="84"/>
    </x:row>
    <x:row r="19">
      <x:c r="A19" s="86" t="str">
        <x:v>状态代码</x:v>
      </x:c>
      <x:c r="B19" s="86" t="str">
        <x:v>含义</x:v>
      </x:c>
      <x:c r="C19" s="86" t="str">
        <x:v>在明细表中的颜色</x:v>
      </x:c>
    </x:row>
    <x:row r="20">
      <x:c r="A20" s="133" t="str">
        <x:v>IDC_FINAL / IDC_PRELIM / IDC_REVISED</x:v>
      </x:c>
      <x:c r="B20" s="133" t="str">
        <x:v>IDC 官方最终、初值或回溯重列</x:v>
      </x:c>
      <x:c r="C20" s="133" t="str">
        <x:v>无特殊底色</x:v>
      </x:c>
    </x:row>
    <x:row r="21">
      <x:c r="A21" s="133" t="str">
        <x:v>IDC_YOY_DERIVED</x:v>
      </x:c>
      <x:c r="B21" s="133" t="str">
        <x:v>按 IDC 官方全球同比反推绝对量</x:v>
      </x:c>
      <x:c r="C21" s="133" t="str">
        <x:v>紫色</x:v>
      </x:c>
    </x:row>
    <x:row r="22">
      <x:c r="A22" s="133" t="str">
        <x:v>ESTIMATE / IDC_OLD_SCOPE</x:v>
      </x:c>
      <x:c r="B22" s="133" t="str">
        <x:v>估算 / OPPO 旧口径</x:v>
      </x:c>
      <x:c r="C22" s="133" t="str">
        <x:v>橙色 / 红色</x:v>
      </x:c>
    </x:row>
  </x:sheetData>
  <x:mergeCells>
    <x:mergeCell ref="A1:C1"/>
  </x:mergeCells>
  <x:pageMargins left="0.7" right="0.7" top="0.75" bottom="0.75" header="0.3" footer="0.3"/>
</x:worksheet>
</file>